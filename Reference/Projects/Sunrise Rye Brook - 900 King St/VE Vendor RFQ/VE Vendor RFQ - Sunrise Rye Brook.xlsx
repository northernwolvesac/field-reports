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7CED6"/>
      </left>
      <right style="thin">
        <color rgb="00C7CED6"/>
      </right>
      <top style="thin">
        <color rgb="00C7CED6"/>
      </top>
      <bottom style="thin">
        <color rgb="00C7CE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52" customWidth="1" min="3" max="3"/>
    <col width="7" customWidth="1" min="4" max="4"/>
    <col width="9" customWidth="1" min="5" max="5"/>
    <col width="9" customWidth="1" min="6" max="6"/>
    <col width="12" customWidth="1" min="7" max="7"/>
    <col width="6" customWidth="1" min="8" max="8"/>
    <col width="6" customWidth="1" min="9" max="9"/>
    <col width="12" customWidth="1" min="10" max="10"/>
    <col width="13" customWidth="1" min="11" max="11"/>
    <col width="12" customWidth="1" min="12" max="12"/>
    <col width="30" customWidth="1" min="13" max="13"/>
  </cols>
  <sheetData>
    <row r="1">
      <c r="A1" s="1" t="inlineStr">
        <is>
          <t>Sunrise Rye Brook - VE request for pricing Rev 1 10/6/2026 - Northern Wolves AC</t>
        </is>
      </c>
    </row>
    <row r="2">
      <c r="A2" t="inlineStr">
        <is>
          <t>Fill in unit price and lead time. Electric heat: all 208 V / 3 ph, kW rated at 208 V (note any item only available 208 V / 1 ph).</t>
        </is>
      </c>
    </row>
    <row r="4">
      <c r="A4" s="2" t="inlineStr">
        <is>
          <t>1A VAV with electric reheat</t>
        </is>
      </c>
    </row>
    <row r="5">
      <c r="A5" s="3" t="inlineStr">
        <is>
          <t>Section</t>
        </is>
      </c>
      <c r="B5" s="3" t="inlineStr">
        <is>
          <t>Tag / item</t>
        </is>
      </c>
      <c r="C5" s="4" t="inlineStr">
        <is>
          <t>Description</t>
        </is>
      </c>
      <c r="D5" s="3" t="inlineStr">
        <is>
          <t>Inlet</t>
        </is>
      </c>
      <c r="E5" s="3" t="inlineStr">
        <is>
          <t>Max CFM</t>
        </is>
      </c>
      <c r="F5" s="3" t="inlineStr">
        <is>
          <t>Min CFM</t>
        </is>
      </c>
      <c r="G5" s="3" t="inlineStr">
        <is>
          <t>Elec. heat kW</t>
        </is>
      </c>
      <c r="H5" s="3" t="inlineStr">
        <is>
          <t>Qty</t>
        </is>
      </c>
      <c r="I5" s="3" t="inlineStr">
        <is>
          <t>Unit</t>
        </is>
      </c>
      <c r="J5" s="3" t="inlineStr">
        <is>
          <t>Unit price</t>
        </is>
      </c>
      <c r="K5" s="3" t="inlineStr">
        <is>
          <t>Extended</t>
        </is>
      </c>
      <c r="L5" s="3" t="inlineStr">
        <is>
          <t>Lead time</t>
        </is>
      </c>
      <c r="M5" s="3" t="inlineStr">
        <is>
          <t>Notes</t>
        </is>
      </c>
    </row>
    <row r="6">
      <c r="A6" s="5" t="inlineStr">
        <is>
          <t>1A</t>
        </is>
      </c>
      <c r="B6" s="5" t="inlineStr">
        <is>
          <t>VAV-1</t>
        </is>
      </c>
      <c r="C6" s="6" t="inlineStr">
        <is>
          <t>Movement Studio 1045</t>
        </is>
      </c>
      <c r="D6" s="5" t="n">
        <v>12</v>
      </c>
      <c r="E6" s="5" t="n">
        <v>1200</v>
      </c>
      <c r="F6" s="5" t="n">
        <v>825</v>
      </c>
      <c r="G6" s="5" t="n">
        <v>8</v>
      </c>
      <c r="H6" s="5" t="n">
        <v>1</v>
      </c>
      <c r="I6" s="5" t="inlineStr">
        <is>
          <t>ea</t>
        </is>
      </c>
      <c r="K6" s="5">
        <f>IF(J6="","",H6*J6)</f>
        <v/>
      </c>
    </row>
    <row r="7">
      <c r="A7" s="5" t="inlineStr">
        <is>
          <t>1A</t>
        </is>
      </c>
      <c r="B7" s="5" t="inlineStr">
        <is>
          <t>VAV-2</t>
        </is>
      </c>
      <c r="C7" s="6" t="inlineStr">
        <is>
          <t>Fitness 1044</t>
        </is>
      </c>
      <c r="D7" s="5" t="n">
        <v>14</v>
      </c>
      <c r="E7" s="5" t="n">
        <v>1450</v>
      </c>
      <c r="F7" s="5" t="n">
        <v>1350</v>
      </c>
      <c r="G7" s="5" t="n">
        <v>13</v>
      </c>
      <c r="H7" s="5" t="n">
        <v>1</v>
      </c>
      <c r="I7" s="5" t="inlineStr">
        <is>
          <t>ea</t>
        </is>
      </c>
      <c r="K7" s="5">
        <f>IF(J7="","",H7*J7)</f>
        <v/>
      </c>
    </row>
    <row r="8">
      <c r="A8" s="5" t="inlineStr">
        <is>
          <t>1A</t>
        </is>
      </c>
      <c r="B8" s="5" t="inlineStr">
        <is>
          <t>VAV-3</t>
        </is>
      </c>
      <c r="C8" s="6" t="inlineStr">
        <is>
          <t>Multi-Purpose Room 1043</t>
        </is>
      </c>
      <c r="D8" s="5" t="n">
        <v>14</v>
      </c>
      <c r="E8" s="5" t="n">
        <v>2250</v>
      </c>
      <c r="F8" s="5" t="n">
        <v>1150</v>
      </c>
      <c r="G8" s="5" t="n">
        <v>11</v>
      </c>
      <c r="H8" s="5" t="n">
        <v>1</v>
      </c>
      <c r="I8" s="5" t="inlineStr">
        <is>
          <t>ea</t>
        </is>
      </c>
      <c r="K8" s="5">
        <f>IF(J8="","",H8*J8)</f>
        <v/>
      </c>
    </row>
    <row r="9">
      <c r="A9" s="5" t="inlineStr">
        <is>
          <t>1A</t>
        </is>
      </c>
      <c r="B9" s="5" t="inlineStr">
        <is>
          <t>VAV-4</t>
        </is>
      </c>
      <c r="C9" s="6" t="inlineStr">
        <is>
          <t>Theater 1042</t>
        </is>
      </c>
      <c r="D9" s="5" t="n">
        <v>8</v>
      </c>
      <c r="E9" s="5" t="n">
        <v>700</v>
      </c>
      <c r="F9" s="5" t="n">
        <v>375</v>
      </c>
      <c r="G9" s="5" t="n">
        <v>4</v>
      </c>
      <c r="H9" s="5" t="n">
        <v>1</v>
      </c>
      <c r="I9" s="5" t="inlineStr">
        <is>
          <t>ea</t>
        </is>
      </c>
      <c r="K9" s="5">
        <f>IF(J9="","",H9*J9)</f>
        <v/>
      </c>
    </row>
    <row r="10">
      <c r="A10" s="5" t="inlineStr">
        <is>
          <t>1A</t>
        </is>
      </c>
      <c r="B10" s="5" t="inlineStr">
        <is>
          <t>VAV-7</t>
        </is>
      </c>
      <c r="C10" s="6" t="inlineStr">
        <is>
          <t>Spa / Salon 1041A</t>
        </is>
      </c>
      <c r="D10" s="5" t="n">
        <v>10</v>
      </c>
      <c r="E10" s="5" t="n">
        <v>700</v>
      </c>
      <c r="F10" s="5" t="n">
        <v>250</v>
      </c>
      <c r="G10" s="5" t="n">
        <v>2.5</v>
      </c>
      <c r="H10" s="5" t="n">
        <v>1</v>
      </c>
      <c r="I10" s="5" t="inlineStr">
        <is>
          <t>ea</t>
        </is>
      </c>
      <c r="K10" s="5">
        <f>IF(J10="","",H10*J10)</f>
        <v/>
      </c>
    </row>
    <row r="11">
      <c r="A11" s="5" t="inlineStr">
        <is>
          <t>1A</t>
        </is>
      </c>
      <c r="B11" s="5" t="inlineStr">
        <is>
          <t>VAV-9</t>
        </is>
      </c>
      <c r="C11" s="6" t="inlineStr">
        <is>
          <t>Gen. Manager Office 1035</t>
        </is>
      </c>
      <c r="D11" s="5" t="n">
        <v>8</v>
      </c>
      <c r="E11" s="5" t="n">
        <v>350</v>
      </c>
      <c r="F11" s="5" t="n">
        <v>150</v>
      </c>
      <c r="G11" s="5" t="n">
        <v>1.5</v>
      </c>
      <c r="H11" s="5" t="n">
        <v>1</v>
      </c>
      <c r="I11" s="5" t="inlineStr">
        <is>
          <t>ea</t>
        </is>
      </c>
      <c r="K11" s="5">
        <f>IF(J11="","",H11*J11)</f>
        <v/>
      </c>
    </row>
    <row r="12">
      <c r="A12" s="5" t="inlineStr">
        <is>
          <t>1A</t>
        </is>
      </c>
      <c r="B12" s="5" t="inlineStr">
        <is>
          <t>VAV-10</t>
        </is>
      </c>
      <c r="C12" s="6" t="inlineStr">
        <is>
          <t>Locker rooms</t>
        </is>
      </c>
      <c r="D12" s="5" t="n">
        <v>6</v>
      </c>
      <c r="E12" s="5" t="n">
        <v>425</v>
      </c>
      <c r="F12" s="5" t="n">
        <v>250</v>
      </c>
      <c r="G12" s="5" t="n">
        <v>3</v>
      </c>
      <c r="H12" s="5" t="n">
        <v>1</v>
      </c>
      <c r="I12" s="5" t="inlineStr">
        <is>
          <t>ea</t>
        </is>
      </c>
      <c r="K12" s="5">
        <f>IF(J12="","",H12*J12)</f>
        <v/>
      </c>
    </row>
    <row r="13">
      <c r="A13" s="5" t="inlineStr">
        <is>
          <t>1A</t>
        </is>
      </c>
      <c r="B13" s="5" t="inlineStr">
        <is>
          <t>VAV-11</t>
        </is>
      </c>
      <c r="C13" s="6" t="inlineStr">
        <is>
          <t>Art 1032</t>
        </is>
      </c>
      <c r="D13" s="5" t="n">
        <v>10</v>
      </c>
      <c r="E13" s="5" t="n">
        <v>550</v>
      </c>
      <c r="F13" s="5" t="n">
        <v>500</v>
      </c>
      <c r="G13" s="5" t="n">
        <v>5</v>
      </c>
      <c r="H13" s="5" t="n">
        <v>1</v>
      </c>
      <c r="I13" s="5" t="inlineStr">
        <is>
          <t>ea</t>
        </is>
      </c>
      <c r="K13" s="5">
        <f>IF(J13="","",H13*J13)</f>
        <v/>
      </c>
    </row>
    <row r="14">
      <c r="A14" s="5" t="inlineStr">
        <is>
          <t>1A</t>
        </is>
      </c>
      <c r="B14" s="5" t="inlineStr">
        <is>
          <t>VAV-15</t>
        </is>
      </c>
      <c r="C14" s="6" t="inlineStr">
        <is>
          <t>AVC 1034B</t>
        </is>
      </c>
      <c r="D14" s="5" t="n">
        <v>6</v>
      </c>
      <c r="E14" s="5" t="n">
        <v>200</v>
      </c>
      <c r="F14" s="5" t="n">
        <v>200</v>
      </c>
      <c r="G14" s="5" t="n">
        <v>2.5</v>
      </c>
      <c r="H14" s="5" t="n">
        <v>1</v>
      </c>
      <c r="I14" s="5" t="inlineStr">
        <is>
          <t>ea</t>
        </is>
      </c>
      <c r="K14" s="5">
        <f>IF(J14="","",H14*J14)</f>
        <v/>
      </c>
    </row>
    <row r="15">
      <c r="A15" s="5" t="inlineStr">
        <is>
          <t>1A</t>
        </is>
      </c>
      <c r="B15" s="5" t="inlineStr">
        <is>
          <t>VAV-16</t>
        </is>
      </c>
      <c r="C15" s="6" t="inlineStr">
        <is>
          <t>Sales Office 1034C</t>
        </is>
      </c>
      <c r="D15" s="5" t="n">
        <v>6</v>
      </c>
      <c r="E15" s="5" t="n">
        <v>300</v>
      </c>
      <c r="F15" s="5" t="n">
        <v>250</v>
      </c>
      <c r="G15" s="5" t="n">
        <v>3</v>
      </c>
      <c r="H15" s="5" t="n">
        <v>1</v>
      </c>
      <c r="I15" s="5" t="inlineStr">
        <is>
          <t>ea</t>
        </is>
      </c>
      <c r="K15" s="5">
        <f>IF(J15="","",H15*J15)</f>
        <v/>
      </c>
    </row>
    <row r="16">
      <c r="A16" s="5" t="inlineStr">
        <is>
          <t>1A</t>
        </is>
      </c>
      <c r="B16" s="5" t="inlineStr">
        <is>
          <t>VAV-17</t>
        </is>
      </c>
      <c r="C16" s="6" t="inlineStr">
        <is>
          <t>Family Meeting Room 1002</t>
        </is>
      </c>
      <c r="D16" s="5" t="n">
        <v>8</v>
      </c>
      <c r="E16" s="5" t="n">
        <v>450</v>
      </c>
      <c r="F16" s="5" t="n">
        <v>450</v>
      </c>
      <c r="G16" s="5" t="n">
        <v>4.5</v>
      </c>
      <c r="H16" s="5" t="n">
        <v>1</v>
      </c>
      <c r="I16" s="5" t="inlineStr">
        <is>
          <t>ea</t>
        </is>
      </c>
      <c r="K16" s="5">
        <f>IF(J16="","",H16*J16)</f>
        <v/>
      </c>
    </row>
    <row r="17">
      <c r="A17" s="5" t="inlineStr">
        <is>
          <t>1A</t>
        </is>
      </c>
      <c r="B17" s="5" t="inlineStr">
        <is>
          <t>VAV-18A</t>
        </is>
      </c>
      <c r="C17" s="6" t="inlineStr">
        <is>
          <t>Treatment Rm 1041C</t>
        </is>
      </c>
      <c r="D17" s="5" t="inlineStr">
        <is>
          <t>TBD</t>
        </is>
      </c>
      <c r="E17" s="5" t="inlineStr">
        <is>
          <t>TBD</t>
        </is>
      </c>
      <c r="F17" s="5" t="inlineStr">
        <is>
          <t>TBD</t>
        </is>
      </c>
      <c r="G17" s="5" t="n">
        <v>3</v>
      </c>
      <c r="H17" s="5" t="n">
        <v>1</v>
      </c>
      <c r="I17" s="5" t="inlineStr">
        <is>
          <t>ea</t>
        </is>
      </c>
      <c r="K17" s="5">
        <f>IF(J17="","",H17*J17)</f>
        <v/>
      </c>
    </row>
    <row r="18">
      <c r="A18" s="5" t="inlineStr">
        <is>
          <t>1A</t>
        </is>
      </c>
      <c r="B18" s="5" t="inlineStr">
        <is>
          <t>VAV-20</t>
        </is>
      </c>
      <c r="C18" s="6" t="inlineStr">
        <is>
          <t>Library 1007</t>
        </is>
      </c>
      <c r="D18" s="5" t="n">
        <v>8</v>
      </c>
      <c r="E18" s="5" t="n">
        <v>350</v>
      </c>
      <c r="F18" s="5" t="n">
        <v>150</v>
      </c>
      <c r="G18" s="5" t="n">
        <v>1.5</v>
      </c>
      <c r="H18" s="5" t="n">
        <v>1</v>
      </c>
      <c r="I18" s="5" t="inlineStr">
        <is>
          <t>ea</t>
        </is>
      </c>
      <c r="K18" s="5">
        <f>IF(J18="","",H18*J18)</f>
        <v/>
      </c>
    </row>
    <row r="19">
      <c r="A19" s="5" t="inlineStr">
        <is>
          <t>1A</t>
        </is>
      </c>
      <c r="B19" s="5" t="inlineStr">
        <is>
          <t>VAV-21</t>
        </is>
      </c>
      <c r="C19" s="6" t="inlineStr">
        <is>
          <t>Store 1008</t>
        </is>
      </c>
      <c r="D19" s="5" t="n">
        <v>8</v>
      </c>
      <c r="E19" s="5" t="n">
        <v>300</v>
      </c>
      <c r="F19" s="5" t="n">
        <v>150</v>
      </c>
      <c r="G19" s="5" t="n">
        <v>1.5</v>
      </c>
      <c r="H19" s="5" t="n">
        <v>1</v>
      </c>
      <c r="I19" s="5" t="inlineStr">
        <is>
          <t>ea</t>
        </is>
      </c>
      <c r="K19" s="5">
        <f>IF(J19="","",H19*J19)</f>
        <v/>
      </c>
    </row>
    <row r="20">
      <c r="A20" s="5" t="inlineStr">
        <is>
          <t>1A</t>
        </is>
      </c>
      <c r="B20" s="5" t="inlineStr">
        <is>
          <t>VAV-22</t>
        </is>
      </c>
      <c r="C20" s="6" t="inlineStr">
        <is>
          <t>Activity Room 1009</t>
        </is>
      </c>
      <c r="D20" s="5" t="n">
        <v>12</v>
      </c>
      <c r="E20" s="5" t="n">
        <v>900</v>
      </c>
      <c r="F20" s="5" t="n">
        <v>250</v>
      </c>
      <c r="G20" s="5" t="n">
        <v>2.5</v>
      </c>
      <c r="H20" s="5" t="n">
        <v>1</v>
      </c>
      <c r="I20" s="5" t="inlineStr">
        <is>
          <t>ea</t>
        </is>
      </c>
      <c r="K20" s="5">
        <f>IF(J20="","",H20*J20)</f>
        <v/>
      </c>
    </row>
    <row r="21">
      <c r="A21" s="5" t="inlineStr">
        <is>
          <t>1A</t>
        </is>
      </c>
      <c r="B21" s="5" t="inlineStr">
        <is>
          <t>VAV-26</t>
        </is>
      </c>
      <c r="C21" s="6" t="inlineStr">
        <is>
          <t>Private Dining 1016</t>
        </is>
      </c>
      <c r="D21" s="5" t="n">
        <v>6</v>
      </c>
      <c r="E21" s="5" t="n">
        <v>400</v>
      </c>
      <c r="F21" s="5" t="n">
        <v>200</v>
      </c>
      <c r="G21" s="5" t="n">
        <v>2.5</v>
      </c>
      <c r="H21" s="5" t="n">
        <v>1</v>
      </c>
      <c r="I21" s="5" t="inlineStr">
        <is>
          <t>ea</t>
        </is>
      </c>
      <c r="K21" s="5">
        <f>IF(J21="","",H21*J21)</f>
        <v/>
      </c>
    </row>
    <row r="22">
      <c r="A22" s="5" t="inlineStr">
        <is>
          <t>1A</t>
        </is>
      </c>
      <c r="B22" s="5" t="inlineStr">
        <is>
          <t>VAV-30</t>
        </is>
      </c>
      <c r="C22" s="6" t="inlineStr">
        <is>
          <t>Private Dining 130 / Dry Storage</t>
        </is>
      </c>
      <c r="D22" s="5" t="n">
        <v>6</v>
      </c>
      <c r="E22" s="5" t="n">
        <v>350</v>
      </c>
      <c r="F22" s="5" t="n">
        <v>200</v>
      </c>
      <c r="G22" s="5" t="n">
        <v>2.5</v>
      </c>
      <c r="H22" s="5" t="n">
        <v>1</v>
      </c>
      <c r="I22" s="5" t="inlineStr">
        <is>
          <t>ea</t>
        </is>
      </c>
      <c r="K22" s="5">
        <f>IF(J22="","",H22*J22)</f>
        <v/>
      </c>
    </row>
    <row r="23">
      <c r="A23" s="5" t="inlineStr">
        <is>
          <t>1A</t>
        </is>
      </c>
      <c r="B23" s="5" t="inlineStr">
        <is>
          <t>VAV-38</t>
        </is>
      </c>
      <c r="C23" s="6" t="inlineStr">
        <is>
          <t>Family Room 120</t>
        </is>
      </c>
      <c r="D23" s="5" t="n">
        <v>8</v>
      </c>
      <c r="E23" s="5" t="n">
        <v>450</v>
      </c>
      <c r="F23" s="5" t="n">
        <v>300</v>
      </c>
      <c r="G23" s="5" t="n">
        <v>3.5</v>
      </c>
      <c r="H23" s="5" t="n">
        <v>1</v>
      </c>
      <c r="I23" s="5" t="inlineStr">
        <is>
          <t>ea</t>
        </is>
      </c>
      <c r="K23" s="5">
        <f>IF(J23="","",H23*J23)</f>
        <v/>
      </c>
    </row>
    <row r="24">
      <c r="A24" s="5" t="inlineStr">
        <is>
          <t>1A</t>
        </is>
      </c>
      <c r="B24" s="5" t="inlineStr">
        <is>
          <t>VAV-39</t>
        </is>
      </c>
      <c r="C24" s="6" t="inlineStr">
        <is>
          <t>Work Room / Sales / Exec. Director</t>
        </is>
      </c>
      <c r="D24" s="5" t="n">
        <v>6</v>
      </c>
      <c r="E24" s="5" t="n">
        <v>400</v>
      </c>
      <c r="F24" s="5" t="n">
        <v>250</v>
      </c>
      <c r="G24" s="5" t="n">
        <v>3</v>
      </c>
      <c r="H24" s="5" t="n">
        <v>1</v>
      </c>
      <c r="I24" s="5" t="inlineStr">
        <is>
          <t>ea</t>
        </is>
      </c>
      <c r="K24" s="5">
        <f>IF(J24="","",H24*J24)</f>
        <v/>
      </c>
    </row>
    <row r="25">
      <c r="A25" s="5" t="inlineStr">
        <is>
          <t>1A</t>
        </is>
      </c>
      <c r="B25" s="5" t="inlineStr">
        <is>
          <t>VAV-41</t>
        </is>
      </c>
      <c r="C25" s="6" t="inlineStr">
        <is>
          <t>Salon 132A</t>
        </is>
      </c>
      <c r="D25" s="5" t="n">
        <v>8</v>
      </c>
      <c r="E25" s="5" t="n">
        <v>400</v>
      </c>
      <c r="F25" s="5" t="n">
        <v>150</v>
      </c>
      <c r="G25" s="5" t="n">
        <v>1.5</v>
      </c>
      <c r="H25" s="5" t="n">
        <v>1</v>
      </c>
      <c r="I25" s="5" t="inlineStr">
        <is>
          <t>ea</t>
        </is>
      </c>
      <c r="K25" s="5">
        <f>IF(J25="","",H25*J25)</f>
        <v/>
      </c>
    </row>
    <row r="26">
      <c r="A26" s="5" t="inlineStr">
        <is>
          <t>1A</t>
        </is>
      </c>
      <c r="B26" s="5" t="inlineStr">
        <is>
          <t>VAV-42</t>
        </is>
      </c>
      <c r="C26" s="6" t="inlineStr">
        <is>
          <t>Theater 135</t>
        </is>
      </c>
      <c r="D26" s="5" t="n">
        <v>12</v>
      </c>
      <c r="E26" s="5" t="n">
        <v>600</v>
      </c>
      <c r="F26" s="5" t="n">
        <v>200</v>
      </c>
      <c r="G26" s="5" t="n">
        <v>2.5</v>
      </c>
      <c r="H26" s="5" t="n">
        <v>1</v>
      </c>
      <c r="I26" s="5" t="inlineStr">
        <is>
          <t>ea</t>
        </is>
      </c>
      <c r="K26" s="5">
        <f>IF(J26="","",H26*J26)</f>
        <v/>
      </c>
    </row>
    <row r="27">
      <c r="A27" s="5" t="inlineStr">
        <is>
          <t>1A</t>
        </is>
      </c>
      <c r="B27" s="5" t="inlineStr">
        <is>
          <t>VAV-43</t>
        </is>
      </c>
      <c r="C27" s="6" t="inlineStr">
        <is>
          <t>Activity 136</t>
        </is>
      </c>
      <c r="D27" s="5" t="n">
        <v>14</v>
      </c>
      <c r="E27" s="5" t="n">
        <v>1000</v>
      </c>
      <c r="F27" s="5" t="n">
        <v>400</v>
      </c>
      <c r="G27" s="5" t="n">
        <v>4</v>
      </c>
      <c r="H27" s="5" t="n">
        <v>1</v>
      </c>
      <c r="I27" s="5" t="inlineStr">
        <is>
          <t>ea</t>
        </is>
      </c>
      <c r="K27" s="5">
        <f>IF(J27="","",H27*J27)</f>
        <v/>
      </c>
    </row>
    <row r="28">
      <c r="A28" s="5" t="inlineStr">
        <is>
          <t>1A</t>
        </is>
      </c>
      <c r="B28" s="5" t="inlineStr">
        <is>
          <t>VAV-44</t>
        </is>
      </c>
      <c r="C28" s="6" t="inlineStr">
        <is>
          <t>Fitness 141</t>
        </is>
      </c>
      <c r="D28" s="5" t="n">
        <v>16</v>
      </c>
      <c r="E28" s="5" t="n">
        <v>1100</v>
      </c>
      <c r="F28" s="5" t="n">
        <v>500</v>
      </c>
      <c r="G28" s="5" t="n">
        <v>5</v>
      </c>
      <c r="H28" s="5" t="n">
        <v>1</v>
      </c>
      <c r="I28" s="5" t="inlineStr">
        <is>
          <t>ea</t>
        </is>
      </c>
      <c r="K28" s="5">
        <f>IF(J28="","",H28*J28)</f>
        <v/>
      </c>
    </row>
    <row r="29">
      <c r="A29" s="5" t="inlineStr">
        <is>
          <t>1A</t>
        </is>
      </c>
      <c r="B29" s="5" t="inlineStr">
        <is>
          <t>VAV-45</t>
        </is>
      </c>
      <c r="C29" s="6" t="inlineStr">
        <is>
          <t>Fitness / Wellness Office</t>
        </is>
      </c>
      <c r="D29" s="5" t="n">
        <v>8</v>
      </c>
      <c r="E29" s="5" t="n">
        <v>450</v>
      </c>
      <c r="F29" s="5" t="n">
        <v>350</v>
      </c>
      <c r="G29" s="5" t="n">
        <v>3.5</v>
      </c>
      <c r="H29" s="5" t="n">
        <v>1</v>
      </c>
      <c r="I29" s="5" t="inlineStr">
        <is>
          <t>ea</t>
        </is>
      </c>
      <c r="K29" s="5">
        <f>IF(J29="","",H29*J29)</f>
        <v/>
      </c>
    </row>
    <row r="30">
      <c r="A30" s="5" t="inlineStr">
        <is>
          <t>1A</t>
        </is>
      </c>
      <c r="B30" s="5" t="inlineStr">
        <is>
          <t>VAV-46</t>
        </is>
      </c>
      <c r="C30" s="6" t="inlineStr">
        <is>
          <t>Wellness Office</t>
        </is>
      </c>
      <c r="D30" s="5" t="n">
        <v>6</v>
      </c>
      <c r="E30" s="5" t="n">
        <v>400</v>
      </c>
      <c r="F30" s="5" t="n">
        <v>200</v>
      </c>
      <c r="G30" s="5" t="n">
        <v>2.5</v>
      </c>
      <c r="H30" s="5" t="n">
        <v>1</v>
      </c>
      <c r="I30" s="5" t="inlineStr">
        <is>
          <t>ea</t>
        </is>
      </c>
      <c r="K30" s="5">
        <f>IF(J30="","",H30*J30)</f>
        <v/>
      </c>
    </row>
    <row r="31">
      <c r="A31" s="5" t="inlineStr">
        <is>
          <t>1A</t>
        </is>
      </c>
      <c r="B31" s="5" t="inlineStr">
        <is>
          <t>VAV-47</t>
        </is>
      </c>
      <c r="C31" s="6" t="inlineStr">
        <is>
          <t>Exam / AVC Office</t>
        </is>
      </c>
      <c r="D31" s="5" t="n">
        <v>6</v>
      </c>
      <c r="E31" s="5" t="n">
        <v>450</v>
      </c>
      <c r="F31" s="5" t="n">
        <v>300</v>
      </c>
      <c r="G31" s="5" t="n">
        <v>3</v>
      </c>
      <c r="H31" s="5" t="n">
        <v>1</v>
      </c>
      <c r="I31" s="5" t="inlineStr">
        <is>
          <t>ea</t>
        </is>
      </c>
      <c r="K31" s="5">
        <f>IF(J31="","",H31*J31)</f>
        <v/>
      </c>
    </row>
    <row r="32"/>
    <row r="33">
      <c r="A33" s="2" t="inlineStr">
        <is>
          <t>1B VAV cooling only</t>
        </is>
      </c>
    </row>
    <row r="34">
      <c r="A34" s="3" t="inlineStr">
        <is>
          <t>Section</t>
        </is>
      </c>
      <c r="B34" s="3" t="inlineStr">
        <is>
          <t>Tag / item</t>
        </is>
      </c>
      <c r="C34" s="4" t="inlineStr">
        <is>
          <t>Description</t>
        </is>
      </c>
      <c r="D34" s="3" t="inlineStr">
        <is>
          <t>Inlet</t>
        </is>
      </c>
      <c r="E34" s="3" t="inlineStr">
        <is>
          <t>Max CFM</t>
        </is>
      </c>
      <c r="F34" s="3" t="inlineStr">
        <is>
          <t>Min CFM</t>
        </is>
      </c>
      <c r="G34" s="3" t="inlineStr">
        <is>
          <t>Elec. heat kW</t>
        </is>
      </c>
      <c r="H34" s="3" t="inlineStr">
        <is>
          <t>Qty</t>
        </is>
      </c>
      <c r="I34" s="3" t="inlineStr">
        <is>
          <t>Unit</t>
        </is>
      </c>
      <c r="J34" s="3" t="inlineStr">
        <is>
          <t>Unit price</t>
        </is>
      </c>
      <c r="K34" s="3" t="inlineStr">
        <is>
          <t>Extended</t>
        </is>
      </c>
      <c r="L34" s="3" t="inlineStr">
        <is>
          <t>Lead time</t>
        </is>
      </c>
      <c r="M34" s="3" t="inlineStr">
        <is>
          <t>Notes</t>
        </is>
      </c>
    </row>
    <row r="35">
      <c r="A35" s="5" t="inlineStr">
        <is>
          <t>1B</t>
        </is>
      </c>
      <c r="B35" s="5" t="inlineStr">
        <is>
          <t>VAV-8</t>
        </is>
      </c>
      <c r="C35" s="6" t="inlineStr">
        <is>
          <t>IT Office 1036 / AV Closet</t>
        </is>
      </c>
      <c r="D35" s="5" t="n">
        <v>4</v>
      </c>
      <c r="E35" s="5" t="n">
        <v>200</v>
      </c>
      <c r="F35" s="5" t="n">
        <v>100</v>
      </c>
      <c r="G35" s="5" t="inlineStr"/>
      <c r="H35" s="5" t="n">
        <v>1</v>
      </c>
      <c r="I35" s="5" t="inlineStr">
        <is>
          <t>ea</t>
        </is>
      </c>
      <c r="K35" s="5">
        <f>IF(J35="","",H35*J35)</f>
        <v/>
      </c>
    </row>
    <row r="36">
      <c r="A36" s="5" t="inlineStr">
        <is>
          <t>1B</t>
        </is>
      </c>
      <c r="B36" s="5" t="inlineStr">
        <is>
          <t>VAV-14</t>
        </is>
      </c>
      <c r="C36" s="6" t="inlineStr">
        <is>
          <t>Security 1033 / Package 1003B</t>
        </is>
      </c>
      <c r="D36" s="5" t="n">
        <v>10</v>
      </c>
      <c r="E36" s="5" t="n">
        <v>600</v>
      </c>
      <c r="F36" s="5" t="n">
        <v>600</v>
      </c>
      <c r="G36" s="5" t="inlineStr"/>
      <c r="H36" s="5" t="n">
        <v>1</v>
      </c>
      <c r="I36" s="5" t="inlineStr">
        <is>
          <t>ea</t>
        </is>
      </c>
      <c r="K36" s="5">
        <f>IF(J36="","",H36*J36)</f>
        <v/>
      </c>
    </row>
    <row r="37">
      <c r="A37" s="5" t="inlineStr">
        <is>
          <t>1B</t>
        </is>
      </c>
      <c r="B37" s="5" t="inlineStr">
        <is>
          <t>VAV-31</t>
        </is>
      </c>
      <c r="C37" s="6" t="inlineStr">
        <is>
          <t>Storage 1031 / Trash 1030 / Receiving</t>
        </is>
      </c>
      <c r="D37" s="5" t="n">
        <v>14</v>
      </c>
      <c r="E37" s="5" t="n">
        <v>1200</v>
      </c>
      <c r="F37" s="5" t="n">
        <v>400</v>
      </c>
      <c r="G37" s="5" t="inlineStr"/>
      <c r="H37" s="5" t="n">
        <v>1</v>
      </c>
      <c r="I37" s="5" t="inlineStr">
        <is>
          <t>ea</t>
        </is>
      </c>
      <c r="K37" s="5">
        <f>IF(J37="","",H37*J37)</f>
        <v/>
      </c>
    </row>
    <row r="38">
      <c r="A38" s="5" t="inlineStr">
        <is>
          <t>1B</t>
        </is>
      </c>
      <c r="B38" s="5" t="inlineStr">
        <is>
          <t>VAV-32</t>
        </is>
      </c>
      <c r="C38" s="6" t="inlineStr">
        <is>
          <t>Chef Office 1027</t>
        </is>
      </c>
      <c r="D38" s="5" t="n">
        <v>6</v>
      </c>
      <c r="E38" s="5" t="n">
        <v>150</v>
      </c>
      <c r="F38" s="5" t="n">
        <v>50</v>
      </c>
      <c r="G38" s="5" t="inlineStr"/>
      <c r="H38" s="5" t="n">
        <v>1</v>
      </c>
      <c r="I38" s="5" t="inlineStr">
        <is>
          <t>ea</t>
        </is>
      </c>
      <c r="K38" s="5">
        <f>IF(J38="","",H38*J38)</f>
        <v/>
      </c>
    </row>
    <row r="39"/>
    <row r="40">
      <c r="A40" s="2" t="inlineStr">
        <is>
          <t>1C VAV cancelled - credit</t>
        </is>
      </c>
    </row>
    <row r="41">
      <c r="A41" s="3" t="inlineStr">
        <is>
          <t>Section</t>
        </is>
      </c>
      <c r="B41" s="3" t="inlineStr">
        <is>
          <t>Tag / item</t>
        </is>
      </c>
      <c r="C41" s="4" t="inlineStr">
        <is>
          <t>Description</t>
        </is>
      </c>
      <c r="D41" s="3" t="inlineStr">
        <is>
          <t>Inlet</t>
        </is>
      </c>
      <c r="E41" s="3" t="inlineStr">
        <is>
          <t>Max CFM</t>
        </is>
      </c>
      <c r="F41" s="3" t="inlineStr">
        <is>
          <t>Min CFM</t>
        </is>
      </c>
      <c r="G41" s="3" t="inlineStr">
        <is>
          <t>Elec. heat kW</t>
        </is>
      </c>
      <c r="H41" s="3" t="inlineStr">
        <is>
          <t>Qty</t>
        </is>
      </c>
      <c r="I41" s="3" t="inlineStr">
        <is>
          <t>Unit</t>
        </is>
      </c>
      <c r="J41" s="3" t="inlineStr">
        <is>
          <t>Unit price</t>
        </is>
      </c>
      <c r="K41" s="3" t="inlineStr">
        <is>
          <t>Extended</t>
        </is>
      </c>
      <c r="L41" s="3" t="inlineStr">
        <is>
          <t>Lead time</t>
        </is>
      </c>
      <c r="M41" s="3" t="inlineStr">
        <is>
          <t>Notes</t>
        </is>
      </c>
    </row>
    <row r="42">
      <c r="A42" s="5" t="inlineStr">
        <is>
          <t>1C</t>
        </is>
      </c>
      <c r="B42" s="5" t="inlineStr">
        <is>
          <t>VAV-5</t>
        </is>
      </c>
      <c r="C42" s="6" t="inlineStr">
        <is>
          <t>Corridor / gallery</t>
        </is>
      </c>
      <c r="D42" s="5" t="n">
        <v>8</v>
      </c>
      <c r="E42" s="5" t="n">
        <v>400</v>
      </c>
      <c r="F42" s="5" t="n">
        <v>400</v>
      </c>
      <c r="G42" s="5" t="inlineStr"/>
      <c r="H42" s="5" t="n">
        <v>-1</v>
      </c>
      <c r="I42" s="5" t="inlineStr">
        <is>
          <t>ea</t>
        </is>
      </c>
      <c r="K42" s="5">
        <f>IF(J42="","",H42*J42)</f>
        <v/>
      </c>
    </row>
    <row r="43">
      <c r="A43" s="5" t="inlineStr">
        <is>
          <t>1C</t>
        </is>
      </c>
      <c r="B43" s="5" t="inlineStr">
        <is>
          <t>VAV-6</t>
        </is>
      </c>
      <c r="C43" s="6" t="inlineStr">
        <is>
          <t>Corridor</t>
        </is>
      </c>
      <c r="D43" s="5" t="n">
        <v>8</v>
      </c>
      <c r="E43" s="5" t="n">
        <v>400</v>
      </c>
      <c r="F43" s="5" t="n">
        <v>400</v>
      </c>
      <c r="G43" s="5" t="inlineStr"/>
      <c r="H43" s="5" t="n">
        <v>-1</v>
      </c>
      <c r="I43" s="5" t="inlineStr">
        <is>
          <t>ea</t>
        </is>
      </c>
      <c r="K43" s="5">
        <f>IF(J43="","",H43*J43)</f>
        <v/>
      </c>
    </row>
    <row r="44">
      <c r="A44" s="5" t="inlineStr">
        <is>
          <t>1C</t>
        </is>
      </c>
      <c r="B44" s="5" t="inlineStr">
        <is>
          <t>VAV-12</t>
        </is>
      </c>
      <c r="C44" s="6" t="inlineStr">
        <is>
          <t>Lounge 1004A</t>
        </is>
      </c>
      <c r="D44" s="5" t="n">
        <v>14</v>
      </c>
      <c r="E44" s="5" t="n">
        <v>1300</v>
      </c>
      <c r="F44" s="5" t="n">
        <v>1300</v>
      </c>
      <c r="G44" s="5" t="inlineStr"/>
      <c r="H44" s="5" t="n">
        <v>-1</v>
      </c>
      <c r="I44" s="5" t="inlineStr">
        <is>
          <t>ea</t>
        </is>
      </c>
      <c r="K44" s="5">
        <f>IF(J44="","",H44*J44)</f>
        <v/>
      </c>
    </row>
    <row r="45">
      <c r="A45" s="5" t="inlineStr">
        <is>
          <t>1C</t>
        </is>
      </c>
      <c r="B45" s="5" t="inlineStr">
        <is>
          <t>VAV-13</t>
        </is>
      </c>
      <c r="C45" s="6" t="inlineStr">
        <is>
          <t>Lounge / Bistro 1004A-B</t>
        </is>
      </c>
      <c r="D45" s="5" t="n">
        <v>10</v>
      </c>
      <c r="E45" s="5" t="n">
        <v>600</v>
      </c>
      <c r="F45" s="5" t="n">
        <v>600</v>
      </c>
      <c r="G45" s="5" t="inlineStr"/>
      <c r="H45" s="5" t="n">
        <v>-1</v>
      </c>
      <c r="I45" s="5" t="inlineStr">
        <is>
          <t>ea</t>
        </is>
      </c>
      <c r="K45" s="5">
        <f>IF(J45="","",H45*J45)</f>
        <v/>
      </c>
    </row>
    <row r="46">
      <c r="A46" s="5" t="inlineStr">
        <is>
          <t>1C</t>
        </is>
      </c>
      <c r="B46" s="5" t="inlineStr">
        <is>
          <t>VAV-18</t>
        </is>
      </c>
      <c r="C46" s="6" t="inlineStr">
        <is>
          <t>Reception 1003A</t>
        </is>
      </c>
      <c r="D46" s="5" t="n">
        <v>8</v>
      </c>
      <c r="E46" s="5" t="n">
        <v>500</v>
      </c>
      <c r="F46" s="5" t="n">
        <v>500</v>
      </c>
      <c r="G46" s="5" t="inlineStr"/>
      <c r="H46" s="5" t="n">
        <v>-1</v>
      </c>
      <c r="I46" s="5" t="inlineStr">
        <is>
          <t>ea</t>
        </is>
      </c>
      <c r="K46" s="5">
        <f>IF(J46="","",H46*J46)</f>
        <v/>
      </c>
    </row>
    <row r="47">
      <c r="A47" s="5" t="inlineStr">
        <is>
          <t>1C</t>
        </is>
      </c>
      <c r="B47" s="5" t="inlineStr">
        <is>
          <t>VAV-19</t>
        </is>
      </c>
      <c r="C47" s="6" t="inlineStr">
        <is>
          <t>Coffee Shop 1006</t>
        </is>
      </c>
      <c r="D47" s="5" t="n">
        <v>6</v>
      </c>
      <c r="E47" s="5" t="n">
        <v>200</v>
      </c>
      <c r="F47" s="5" t="n">
        <v>50</v>
      </c>
      <c r="G47" s="5" t="inlineStr"/>
      <c r="H47" s="5" t="n">
        <v>-1</v>
      </c>
      <c r="I47" s="5" t="inlineStr">
        <is>
          <t>ea</t>
        </is>
      </c>
      <c r="K47" s="5">
        <f>IF(J47="","",H47*J47)</f>
        <v/>
      </c>
    </row>
    <row r="48">
      <c r="A48" s="5" t="inlineStr">
        <is>
          <t>1C</t>
        </is>
      </c>
      <c r="B48" s="5" t="inlineStr">
        <is>
          <t>VAV-24</t>
        </is>
      </c>
      <c r="C48" s="6" t="inlineStr">
        <is>
          <t>Bistro 1004B</t>
        </is>
      </c>
      <c r="D48" s="5" t="n">
        <v>10</v>
      </c>
      <c r="E48" s="5" t="n">
        <v>550</v>
      </c>
      <c r="F48" s="5" t="n">
        <v>200</v>
      </c>
      <c r="G48" s="5" t="inlineStr"/>
      <c r="H48" s="5" t="n">
        <v>-1</v>
      </c>
      <c r="I48" s="5" t="inlineStr">
        <is>
          <t>ea</t>
        </is>
      </c>
      <c r="K48" s="5">
        <f>IF(J48="","",H48*J48)</f>
        <v/>
      </c>
    </row>
    <row r="49">
      <c r="A49" s="5" t="inlineStr">
        <is>
          <t>1C</t>
        </is>
      </c>
      <c r="B49" s="5" t="inlineStr">
        <is>
          <t>VAV-23</t>
        </is>
      </c>
      <c r="C49" s="6" t="inlineStr">
        <is>
          <t>Restrooms 1012-1013 / Mailroom</t>
        </is>
      </c>
      <c r="D49" s="5" t="n">
        <v>6</v>
      </c>
      <c r="E49" s="5" t="n">
        <v>300</v>
      </c>
      <c r="F49" s="5" t="n">
        <v>100</v>
      </c>
      <c r="G49" s="5" t="inlineStr"/>
      <c r="H49" s="5" t="n">
        <v>-1</v>
      </c>
      <c r="I49" s="5" t="inlineStr">
        <is>
          <t>ea</t>
        </is>
      </c>
      <c r="K49" s="5">
        <f>IF(J49="","",H49*J49)</f>
        <v/>
      </c>
    </row>
    <row r="50">
      <c r="A50" s="5" t="inlineStr">
        <is>
          <t>1C</t>
        </is>
      </c>
      <c r="B50" s="5" t="inlineStr">
        <is>
          <t>VAV-25</t>
        </is>
      </c>
      <c r="C50" s="6" t="inlineStr">
        <is>
          <t>Casual Dining 1015</t>
        </is>
      </c>
      <c r="D50" s="5" t="n">
        <v>14</v>
      </c>
      <c r="E50" s="5" t="n">
        <v>3000</v>
      </c>
      <c r="F50" s="5" t="n">
        <v>1100</v>
      </c>
      <c r="G50" s="5" t="inlineStr"/>
      <c r="H50" s="5" t="n">
        <v>-1</v>
      </c>
      <c r="I50" s="5" t="inlineStr">
        <is>
          <t>ea</t>
        </is>
      </c>
      <c r="K50" s="5">
        <f>IF(J50="","",H50*J50)</f>
        <v/>
      </c>
    </row>
    <row r="51">
      <c r="A51" s="5" t="inlineStr">
        <is>
          <t>1C</t>
        </is>
      </c>
      <c r="B51" s="5" t="inlineStr">
        <is>
          <t>VAV-27</t>
        </is>
      </c>
      <c r="C51" s="6" t="inlineStr">
        <is>
          <t>Formal Dining 1017</t>
        </is>
      </c>
      <c r="D51" s="5" t="n">
        <v>14</v>
      </c>
      <c r="E51" s="5" t="n">
        <v>1850</v>
      </c>
      <c r="F51" s="5" t="n">
        <v>425</v>
      </c>
      <c r="G51" s="5" t="inlineStr"/>
      <c r="H51" s="5" t="n">
        <v>-1</v>
      </c>
      <c r="I51" s="5" t="inlineStr">
        <is>
          <t>ea</t>
        </is>
      </c>
      <c r="K51" s="5">
        <f>IF(J51="","",H51*J51)</f>
        <v/>
      </c>
    </row>
    <row r="52">
      <c r="A52" s="5" t="inlineStr">
        <is>
          <t>1C</t>
        </is>
      </c>
      <c r="B52" s="5" t="inlineStr">
        <is>
          <t>VAV-28</t>
        </is>
      </c>
      <c r="C52" s="6" t="inlineStr">
        <is>
          <t>Restrooms / kitchen corridor</t>
        </is>
      </c>
      <c r="D52" s="5" t="n">
        <v>10</v>
      </c>
      <c r="E52" s="5" t="n">
        <v>800</v>
      </c>
      <c r="F52" s="5" t="n">
        <v>525</v>
      </c>
      <c r="G52" s="5" t="inlineStr"/>
      <c r="H52" s="5" t="n">
        <v>-1</v>
      </c>
      <c r="I52" s="5" t="inlineStr">
        <is>
          <t>ea</t>
        </is>
      </c>
      <c r="K52" s="5">
        <f>IF(J52="","",H52*J52)</f>
        <v/>
      </c>
    </row>
    <row r="53">
      <c r="A53" s="5" t="inlineStr">
        <is>
          <t>1C</t>
        </is>
      </c>
      <c r="B53" s="5" t="inlineStr">
        <is>
          <t>VAV-29</t>
        </is>
      </c>
      <c r="C53" s="6" t="inlineStr">
        <is>
          <t>Main Kitchen 1019</t>
        </is>
      </c>
      <c r="D53" s="5" t="n">
        <v>16</v>
      </c>
      <c r="E53" s="5" t="n">
        <v>1800</v>
      </c>
      <c r="F53" s="5" t="n">
        <v>600</v>
      </c>
      <c r="G53" s="5" t="inlineStr"/>
      <c r="H53" s="5" t="n">
        <v>-1</v>
      </c>
      <c r="I53" s="5" t="inlineStr">
        <is>
          <t>ea</t>
        </is>
      </c>
      <c r="K53" s="5">
        <f>IF(J53="","",H53*J53)</f>
        <v/>
      </c>
    </row>
    <row r="54">
      <c r="A54" s="5" t="inlineStr">
        <is>
          <t>1C</t>
        </is>
      </c>
      <c r="B54" s="5" t="inlineStr">
        <is>
          <t>VAV-33</t>
        </is>
      </c>
      <c r="C54" s="6" t="inlineStr">
        <is>
          <t>AL Dining 128</t>
        </is>
      </c>
      <c r="D54" s="5" t="n">
        <v>16</v>
      </c>
      <c r="E54" s="5" t="n">
        <v>2500</v>
      </c>
      <c r="F54" s="5" t="n">
        <v>1000</v>
      </c>
      <c r="G54" s="5" t="inlineStr"/>
      <c r="H54" s="5" t="n">
        <v>-1</v>
      </c>
      <c r="I54" s="5" t="inlineStr">
        <is>
          <t>ea</t>
        </is>
      </c>
      <c r="K54" s="5">
        <f>IF(J54="","",H54*J54)</f>
        <v/>
      </c>
    </row>
    <row r="55">
      <c r="A55" s="5" t="inlineStr">
        <is>
          <t>1C</t>
        </is>
      </c>
      <c r="B55" s="5" t="inlineStr">
        <is>
          <t>VAV-34</t>
        </is>
      </c>
      <c r="C55" s="6" t="inlineStr">
        <is>
          <t>Bistro 127</t>
        </is>
      </c>
      <c r="D55" s="5" t="n">
        <v>14</v>
      </c>
      <c r="E55" s="5" t="n">
        <v>1200</v>
      </c>
      <c r="F55" s="5" t="n">
        <v>450</v>
      </c>
      <c r="G55" s="5" t="inlineStr"/>
      <c r="H55" s="5" t="n">
        <v>-1</v>
      </c>
      <c r="I55" s="5" t="inlineStr">
        <is>
          <t>ea</t>
        </is>
      </c>
      <c r="K55" s="5">
        <f>IF(J55="","",H55*J55)</f>
        <v/>
      </c>
    </row>
    <row r="56">
      <c r="A56" s="5" t="inlineStr">
        <is>
          <t>1C</t>
        </is>
      </c>
      <c r="B56" s="5" t="inlineStr">
        <is>
          <t>VAV-35</t>
        </is>
      </c>
      <c r="C56" s="6" t="inlineStr">
        <is>
          <t>Bistro / dining 127</t>
        </is>
      </c>
      <c r="D56" s="5" t="n">
        <v>6</v>
      </c>
      <c r="E56" s="5" t="n">
        <v>200</v>
      </c>
      <c r="F56" s="5" t="n">
        <v>200</v>
      </c>
      <c r="G56" s="5" t="inlineStr"/>
      <c r="H56" s="5" t="n">
        <v>-1</v>
      </c>
      <c r="I56" s="5" t="inlineStr">
        <is>
          <t>ea</t>
        </is>
      </c>
      <c r="K56" s="5">
        <f>IF(J56="","",H56*J56)</f>
        <v/>
      </c>
    </row>
    <row r="57">
      <c r="A57" s="5" t="inlineStr">
        <is>
          <t>1C</t>
        </is>
      </c>
      <c r="B57" s="5" t="inlineStr">
        <is>
          <t>VAV-36</t>
        </is>
      </c>
      <c r="C57" s="6" t="inlineStr">
        <is>
          <t>Parlor 131</t>
        </is>
      </c>
      <c r="D57" s="5" t="n">
        <v>8</v>
      </c>
      <c r="E57" s="5" t="n">
        <v>350</v>
      </c>
      <c r="F57" s="5" t="n">
        <v>150</v>
      </c>
      <c r="G57" s="5" t="inlineStr"/>
      <c r="H57" s="5" t="n">
        <v>-1</v>
      </c>
      <c r="I57" s="5" t="inlineStr">
        <is>
          <t>ea</t>
        </is>
      </c>
      <c r="K57" s="5">
        <f>IF(J57="","",H57*J57)</f>
        <v/>
      </c>
    </row>
    <row r="58">
      <c r="A58" s="5" t="inlineStr">
        <is>
          <t>1C</t>
        </is>
      </c>
      <c r="B58" s="5" t="inlineStr">
        <is>
          <t>VAV-37</t>
        </is>
      </c>
      <c r="C58" s="6" t="inlineStr">
        <is>
          <t>Reception 126</t>
        </is>
      </c>
      <c r="D58" s="5" t="n">
        <v>8</v>
      </c>
      <c r="E58" s="5" t="n">
        <v>250</v>
      </c>
      <c r="F58" s="5" t="n">
        <v>150</v>
      </c>
      <c r="G58" s="5" t="inlineStr"/>
      <c r="H58" s="5" t="n">
        <v>-1</v>
      </c>
      <c r="I58" s="5" t="inlineStr">
        <is>
          <t>ea</t>
        </is>
      </c>
      <c r="K58" s="5">
        <f>IF(J58="","",H58*J58)</f>
        <v/>
      </c>
    </row>
    <row r="59">
      <c r="A59" s="5" t="inlineStr">
        <is>
          <t>1C</t>
        </is>
      </c>
      <c r="B59" s="5" t="inlineStr">
        <is>
          <t>VAV-40</t>
        </is>
      </c>
      <c r="C59" s="6" t="inlineStr">
        <is>
          <t>Corridor 100C</t>
        </is>
      </c>
      <c r="D59" s="5" t="n">
        <v>6</v>
      </c>
      <c r="E59" s="5" t="n">
        <v>200</v>
      </c>
      <c r="F59" s="5" t="n">
        <v>100</v>
      </c>
      <c r="G59" s="5" t="inlineStr"/>
      <c r="H59" s="5" t="n">
        <v>-1</v>
      </c>
      <c r="I59" s="5" t="inlineStr">
        <is>
          <t>ea</t>
        </is>
      </c>
      <c r="K59" s="5">
        <f>IF(J59="","",H59*J59)</f>
        <v/>
      </c>
    </row>
    <row r="60"/>
    <row r="61">
      <c r="A61" s="2" t="inlineStr">
        <is>
          <t>2A Electric cabinet heaters</t>
        </is>
      </c>
    </row>
    <row r="62">
      <c r="A62" s="3" t="inlineStr">
        <is>
          <t>Section</t>
        </is>
      </c>
      <c r="B62" s="3" t="inlineStr">
        <is>
          <t>Tag / item</t>
        </is>
      </c>
      <c r="C62" s="4" t="inlineStr">
        <is>
          <t>Description</t>
        </is>
      </c>
      <c r="D62" s="3" t="inlineStr">
        <is>
          <t>Inlet</t>
        </is>
      </c>
      <c r="E62" s="3" t="inlineStr">
        <is>
          <t>Max CFM</t>
        </is>
      </c>
      <c r="F62" s="3" t="inlineStr">
        <is>
          <t>Min CFM</t>
        </is>
      </c>
      <c r="G62" s="3" t="inlineStr">
        <is>
          <t>Elec. heat kW</t>
        </is>
      </c>
      <c r="H62" s="3" t="inlineStr">
        <is>
          <t>Qty</t>
        </is>
      </c>
      <c r="I62" s="3" t="inlineStr">
        <is>
          <t>Unit</t>
        </is>
      </c>
      <c r="J62" s="3" t="inlineStr">
        <is>
          <t>Unit price</t>
        </is>
      </c>
      <c r="K62" s="3" t="inlineStr">
        <is>
          <t>Extended</t>
        </is>
      </c>
      <c r="L62" s="3" t="inlineStr">
        <is>
          <t>Lead time</t>
        </is>
      </c>
      <c r="M62" s="3" t="inlineStr">
        <is>
          <t>Notes</t>
        </is>
      </c>
    </row>
    <row r="63">
      <c r="A63" s="5" t="inlineStr">
        <is>
          <t>2A</t>
        </is>
      </c>
      <c r="B63" s="5" t="inlineStr">
        <is>
          <t>CH-1</t>
        </is>
      </c>
      <c r="C63" s="6" t="inlineStr">
        <is>
          <t>Movement Studio entry</t>
        </is>
      </c>
      <c r="D63" s="5" t="inlineStr"/>
      <c r="E63" s="5" t="inlineStr">
        <is>
          <t>450</t>
        </is>
      </c>
      <c r="F63" s="5" t="inlineStr"/>
      <c r="G63" s="5" t="n">
        <v>5.3</v>
      </c>
      <c r="H63" s="5" t="n">
        <v>1</v>
      </c>
      <c r="I63" s="5" t="inlineStr">
        <is>
          <t>ea</t>
        </is>
      </c>
      <c r="K63" s="5">
        <f>IF(J63="","",H63*J63)</f>
        <v/>
      </c>
    </row>
    <row r="64">
      <c r="A64" s="5" t="inlineStr">
        <is>
          <t>2A</t>
        </is>
      </c>
      <c r="B64" s="5" t="inlineStr">
        <is>
          <t>CH-3</t>
        </is>
      </c>
      <c r="C64" s="6" t="inlineStr">
        <is>
          <t>Pool deck / stair entry</t>
        </is>
      </c>
      <c r="D64" s="5" t="inlineStr"/>
      <c r="E64" s="5" t="inlineStr">
        <is>
          <t>450</t>
        </is>
      </c>
      <c r="F64" s="5" t="inlineStr"/>
      <c r="G64" s="5" t="n">
        <v>5.3</v>
      </c>
      <c r="H64" s="5" t="n">
        <v>1</v>
      </c>
      <c r="I64" s="5" t="inlineStr">
        <is>
          <t>ea</t>
        </is>
      </c>
      <c r="K64" s="5">
        <f>IF(J64="","",H64*J64)</f>
        <v/>
      </c>
    </row>
    <row r="65">
      <c r="A65" s="5" t="inlineStr">
        <is>
          <t>2A</t>
        </is>
      </c>
      <c r="B65" s="5" t="inlineStr">
        <is>
          <t>CH-4</t>
        </is>
      </c>
      <c r="C65" s="6" t="inlineStr">
        <is>
          <t>Exterior door at gallery</t>
        </is>
      </c>
      <c r="D65" s="5" t="inlineStr"/>
      <c r="E65" s="5" t="inlineStr">
        <is>
          <t>450</t>
        </is>
      </c>
      <c r="F65" s="5" t="inlineStr"/>
      <c r="G65" s="5" t="n">
        <v>5.3</v>
      </c>
      <c r="H65" s="5" t="n">
        <v>1</v>
      </c>
      <c r="I65" s="5" t="inlineStr">
        <is>
          <t>ea</t>
        </is>
      </c>
      <c r="K65" s="5">
        <f>IF(J65="","",H65*J65)</f>
        <v/>
      </c>
    </row>
    <row r="66">
      <c r="A66" s="5" t="inlineStr">
        <is>
          <t>2A</t>
        </is>
      </c>
      <c r="B66" s="5" t="inlineStr">
        <is>
          <t>CH-5</t>
        </is>
      </c>
      <c r="C66" s="6" t="inlineStr">
        <is>
          <t>Fitness entry</t>
        </is>
      </c>
      <c r="D66" s="5" t="inlineStr"/>
      <c r="E66" s="5" t="inlineStr">
        <is>
          <t>450</t>
        </is>
      </c>
      <c r="F66" s="5" t="inlineStr"/>
      <c r="G66" s="5" t="n">
        <v>5.3</v>
      </c>
      <c r="H66" s="5" t="n">
        <v>1</v>
      </c>
      <c r="I66" s="5" t="inlineStr">
        <is>
          <t>ea</t>
        </is>
      </c>
      <c r="K66" s="5">
        <f>IF(J66="","",H66*J66)</f>
        <v/>
      </c>
    </row>
    <row r="67">
      <c r="A67" s="5" t="inlineStr">
        <is>
          <t>2A</t>
        </is>
      </c>
      <c r="B67" s="5" t="inlineStr">
        <is>
          <t>CH-12</t>
        </is>
      </c>
      <c r="C67" s="6" t="inlineStr">
        <is>
          <t>Multi-Purpose Room entry</t>
        </is>
      </c>
      <c r="D67" s="5" t="inlineStr"/>
      <c r="E67" s="5" t="inlineStr">
        <is>
          <t>450</t>
        </is>
      </c>
      <c r="F67" s="5" t="inlineStr"/>
      <c r="G67" s="5" t="n">
        <v>5.3</v>
      </c>
      <c r="H67" s="5" t="n">
        <v>1</v>
      </c>
      <c r="I67" s="5" t="inlineStr">
        <is>
          <t>ea</t>
        </is>
      </c>
      <c r="K67" s="5">
        <f>IF(J67="","",H67*J67)</f>
        <v/>
      </c>
    </row>
    <row r="68">
      <c r="A68" s="5" t="inlineStr">
        <is>
          <t>2A</t>
        </is>
      </c>
      <c r="B68" s="5" t="inlineStr">
        <is>
          <t>CH-6</t>
        </is>
      </c>
      <c r="C68" s="6" t="inlineStr">
        <is>
          <t>Vestibule 1001</t>
        </is>
      </c>
      <c r="D68" s="5" t="inlineStr"/>
      <c r="E68" s="5" t="inlineStr">
        <is>
          <t>450</t>
        </is>
      </c>
      <c r="F68" s="5" t="inlineStr"/>
      <c r="G68" s="5" t="n">
        <v>5.3</v>
      </c>
      <c r="H68" s="5" t="n">
        <v>1</v>
      </c>
      <c r="I68" s="5" t="inlineStr">
        <is>
          <t>ea</t>
        </is>
      </c>
      <c r="K68" s="5">
        <f>IF(J68="","",H68*J68)</f>
        <v/>
      </c>
    </row>
    <row r="69">
      <c r="A69" s="5" t="inlineStr">
        <is>
          <t>2A</t>
        </is>
      </c>
      <c r="B69" s="5" t="inlineStr">
        <is>
          <t>CH-7</t>
        </is>
      </c>
      <c r="C69" s="6" t="inlineStr">
        <is>
          <t>Formal Dining entry</t>
        </is>
      </c>
      <c r="D69" s="5" t="inlineStr"/>
      <c r="E69" s="5" t="inlineStr">
        <is>
          <t>450</t>
        </is>
      </c>
      <c r="F69" s="5" t="inlineStr"/>
      <c r="G69" s="5" t="n">
        <v>5.3</v>
      </c>
      <c r="H69" s="5" t="n">
        <v>1</v>
      </c>
      <c r="I69" s="5" t="inlineStr">
        <is>
          <t>ea</t>
        </is>
      </c>
      <c r="K69" s="5">
        <f>IF(J69="","",H69*J69)</f>
        <v/>
      </c>
    </row>
    <row r="70">
      <c r="A70" s="5" t="inlineStr">
        <is>
          <t>2A</t>
        </is>
      </c>
      <c r="B70" s="5" t="inlineStr">
        <is>
          <t>CH-9</t>
        </is>
      </c>
      <c r="C70" s="6" t="inlineStr">
        <is>
          <t>Trash 1030 / Storage</t>
        </is>
      </c>
      <c r="D70" s="5" t="inlineStr"/>
      <c r="E70" s="5" t="inlineStr">
        <is>
          <t>1,050</t>
        </is>
      </c>
      <c r="F70" s="5" t="inlineStr"/>
      <c r="G70" s="5" t="n">
        <v>10.4</v>
      </c>
      <c r="H70" s="5" t="n">
        <v>1</v>
      </c>
      <c r="I70" s="5" t="inlineStr">
        <is>
          <t>ea</t>
        </is>
      </c>
      <c r="K70" s="5">
        <f>IF(J70="","",H70*J70)</f>
        <v/>
      </c>
    </row>
    <row r="71">
      <c r="A71" s="5" t="inlineStr">
        <is>
          <t>2A</t>
        </is>
      </c>
      <c r="B71" s="5" t="inlineStr">
        <is>
          <t>CH-10</t>
        </is>
      </c>
      <c r="C71" s="6" t="inlineStr">
        <is>
          <t>Casual Dining entry</t>
        </is>
      </c>
      <c r="D71" s="5" t="inlineStr"/>
      <c r="E71" s="5" t="inlineStr">
        <is>
          <t>450</t>
        </is>
      </c>
      <c r="F71" s="5" t="inlineStr"/>
      <c r="G71" s="5" t="n">
        <v>5.3</v>
      </c>
      <c r="H71" s="5" t="n">
        <v>1</v>
      </c>
      <c r="I71" s="5" t="inlineStr">
        <is>
          <t>ea</t>
        </is>
      </c>
      <c r="K71" s="5">
        <f>IF(J71="","",H71*J71)</f>
        <v/>
      </c>
    </row>
    <row r="72">
      <c r="A72" s="5" t="inlineStr">
        <is>
          <t>2A</t>
        </is>
      </c>
      <c r="B72" s="5" t="inlineStr">
        <is>
          <t>CH-11</t>
        </is>
      </c>
      <c r="C72" s="6" t="inlineStr">
        <is>
          <t>Casual Dining entry</t>
        </is>
      </c>
      <c r="D72" s="5" t="inlineStr"/>
      <c r="E72" s="5" t="inlineStr">
        <is>
          <t>450</t>
        </is>
      </c>
      <c r="F72" s="5" t="inlineStr"/>
      <c r="G72" s="5" t="n">
        <v>5.3</v>
      </c>
      <c r="H72" s="5" t="n">
        <v>1</v>
      </c>
      <c r="I72" s="5" t="inlineStr">
        <is>
          <t>ea</t>
        </is>
      </c>
      <c r="K72" s="5">
        <f>IF(J72="","",H72*J72)</f>
        <v/>
      </c>
    </row>
    <row r="73"/>
    <row r="74">
      <c r="A74" s="2" t="inlineStr">
        <is>
          <t>2B Electric unit heaters</t>
        </is>
      </c>
    </row>
    <row r="75">
      <c r="A75" s="3" t="inlineStr">
        <is>
          <t>Section</t>
        </is>
      </c>
      <c r="B75" s="3" t="inlineStr">
        <is>
          <t>Tag / item</t>
        </is>
      </c>
      <c r="C75" s="4" t="inlineStr">
        <is>
          <t>Description</t>
        </is>
      </c>
      <c r="D75" s="3" t="inlineStr">
        <is>
          <t>Inlet</t>
        </is>
      </c>
      <c r="E75" s="3" t="inlineStr">
        <is>
          <t>Max CFM</t>
        </is>
      </c>
      <c r="F75" s="3" t="inlineStr">
        <is>
          <t>Min CFM</t>
        </is>
      </c>
      <c r="G75" s="3" t="inlineStr">
        <is>
          <t>Elec. heat kW</t>
        </is>
      </c>
      <c r="H75" s="3" t="inlineStr">
        <is>
          <t>Qty</t>
        </is>
      </c>
      <c r="I75" s="3" t="inlineStr">
        <is>
          <t>Unit</t>
        </is>
      </c>
      <c r="J75" s="3" t="inlineStr">
        <is>
          <t>Unit price</t>
        </is>
      </c>
      <c r="K75" s="3" t="inlineStr">
        <is>
          <t>Extended</t>
        </is>
      </c>
      <c r="L75" s="3" t="inlineStr">
        <is>
          <t>Lead time</t>
        </is>
      </c>
      <c r="M75" s="3" t="inlineStr">
        <is>
          <t>Notes</t>
        </is>
      </c>
    </row>
    <row r="76">
      <c r="A76" s="5" t="inlineStr">
        <is>
          <t>2B</t>
        </is>
      </c>
      <c r="B76" s="5" t="inlineStr">
        <is>
          <t>EUH-1</t>
        </is>
      </c>
      <c r="C76" s="6" t="inlineStr">
        <is>
          <t>Residents' Storage B107</t>
        </is>
      </c>
      <c r="D76" s="5" t="inlineStr"/>
      <c r="E76" s="5" t="inlineStr"/>
      <c r="F76" s="5" t="inlineStr"/>
      <c r="G76" s="5" t="n">
        <v>3</v>
      </c>
      <c r="H76" s="5" t="n">
        <v>1</v>
      </c>
      <c r="I76" s="5" t="inlineStr">
        <is>
          <t>ea</t>
        </is>
      </c>
      <c r="K76" s="5">
        <f>IF(J76="","",H76*J76)</f>
        <v/>
      </c>
    </row>
    <row r="77">
      <c r="A77" s="5" t="inlineStr">
        <is>
          <t>2B</t>
        </is>
      </c>
      <c r="B77" s="5" t="inlineStr">
        <is>
          <t>EUH-2</t>
        </is>
      </c>
      <c r="C77" s="6" t="inlineStr">
        <is>
          <t>Trash Collection B106 (exhaust make-up)</t>
        </is>
      </c>
      <c r="D77" s="5" t="inlineStr"/>
      <c r="E77" s="5" t="inlineStr"/>
      <c r="F77" s="5" t="inlineStr"/>
      <c r="G77" s="5" t="n">
        <v>5</v>
      </c>
      <c r="H77" s="5" t="n">
        <v>1</v>
      </c>
      <c r="I77" s="5" t="inlineStr">
        <is>
          <t>ea</t>
        </is>
      </c>
      <c r="K77" s="5">
        <f>IF(J77="","",H77*J77)</f>
        <v/>
      </c>
    </row>
    <row r="78">
      <c r="A78" s="5" t="inlineStr">
        <is>
          <t>2B</t>
        </is>
      </c>
      <c r="B78" s="5" t="inlineStr">
        <is>
          <t>EUH-3</t>
        </is>
      </c>
      <c r="C78" s="6" t="inlineStr">
        <is>
          <t>Kitchen Storage B113</t>
        </is>
      </c>
      <c r="D78" s="5" t="inlineStr"/>
      <c r="E78" s="5" t="inlineStr"/>
      <c r="F78" s="5" t="inlineStr"/>
      <c r="G78" s="5" t="n">
        <v>5</v>
      </c>
      <c r="H78" s="5" t="n">
        <v>1</v>
      </c>
      <c r="I78" s="5" t="inlineStr">
        <is>
          <t>ea</t>
        </is>
      </c>
      <c r="K78" s="5">
        <f>IF(J78="","",H78*J78)</f>
        <v/>
      </c>
    </row>
    <row r="79">
      <c r="A79" s="5" t="inlineStr">
        <is>
          <t>2B</t>
        </is>
      </c>
      <c r="B79" s="5" t="inlineStr">
        <is>
          <t>EUH-4</t>
        </is>
      </c>
      <c r="C79" s="6" t="inlineStr">
        <is>
          <t>Corridor B100</t>
        </is>
      </c>
      <c r="D79" s="5" t="inlineStr"/>
      <c r="E79" s="5" t="inlineStr"/>
      <c r="F79" s="5" t="inlineStr"/>
      <c r="G79" s="5" t="n">
        <v>3</v>
      </c>
      <c r="H79" s="5" t="n">
        <v>1</v>
      </c>
      <c r="I79" s="5" t="inlineStr">
        <is>
          <t>ea</t>
        </is>
      </c>
      <c r="K79" s="5">
        <f>IF(J79="","",H79*J79)</f>
        <v/>
      </c>
    </row>
    <row r="80">
      <c r="A80" s="5" t="inlineStr">
        <is>
          <t>2B</t>
        </is>
      </c>
      <c r="B80" s="5" t="inlineStr">
        <is>
          <t>EUH-5</t>
        </is>
      </c>
      <c r="C80" s="6" t="inlineStr">
        <is>
          <t>Residents' Storage B115</t>
        </is>
      </c>
      <c r="D80" s="5" t="inlineStr"/>
      <c r="E80" s="5" t="inlineStr"/>
      <c r="F80" s="5" t="inlineStr"/>
      <c r="G80" s="5" t="n">
        <v>3</v>
      </c>
      <c r="H80" s="5" t="n">
        <v>1</v>
      </c>
      <c r="I80" s="5" t="inlineStr">
        <is>
          <t>ea</t>
        </is>
      </c>
      <c r="K80" s="5">
        <f>IF(J80="","",H80*J80)</f>
        <v/>
      </c>
    </row>
    <row r="81">
      <c r="A81" s="5" t="inlineStr">
        <is>
          <t>2B</t>
        </is>
      </c>
      <c r="B81" s="5" t="inlineStr">
        <is>
          <t>EUH-6</t>
        </is>
      </c>
      <c r="C81" s="6" t="inlineStr">
        <is>
          <t>Team Member Lounge B119A</t>
        </is>
      </c>
      <c r="D81" s="5" t="inlineStr"/>
      <c r="E81" s="5" t="inlineStr"/>
      <c r="F81" s="5" t="inlineStr"/>
      <c r="G81" s="5" t="n">
        <v>3</v>
      </c>
      <c r="H81" s="5" t="n">
        <v>1</v>
      </c>
      <c r="I81" s="5" t="inlineStr">
        <is>
          <t>ea</t>
        </is>
      </c>
      <c r="K81" s="5">
        <f>IF(J81="","",H81*J81)</f>
        <v/>
      </c>
    </row>
    <row r="82">
      <c r="A82" s="5" t="inlineStr">
        <is>
          <t>2B</t>
        </is>
      </c>
      <c r="B82" s="5" t="inlineStr">
        <is>
          <t>EUH-7</t>
        </is>
      </c>
      <c r="C82" s="6" t="inlineStr">
        <is>
          <t>Mechanical B118</t>
        </is>
      </c>
      <c r="D82" s="5" t="inlineStr"/>
      <c r="E82" s="5" t="inlineStr"/>
      <c r="F82" s="5" t="inlineStr"/>
      <c r="G82" s="5" t="n">
        <v>5</v>
      </c>
      <c r="H82" s="5" t="n">
        <v>1</v>
      </c>
      <c r="I82" s="5" t="inlineStr">
        <is>
          <t>ea</t>
        </is>
      </c>
      <c r="K82" s="5">
        <f>IF(J82="","",H82*J82)</f>
        <v/>
      </c>
    </row>
    <row r="83">
      <c r="A83" s="5" t="inlineStr">
        <is>
          <t>2B</t>
        </is>
      </c>
      <c r="B83" s="5" t="inlineStr">
        <is>
          <t>EUH-8</t>
        </is>
      </c>
      <c r="C83" s="6" t="inlineStr">
        <is>
          <t>Trash room, AL south (400 CFM exhaust make-up)</t>
        </is>
      </c>
      <c r="D83" s="5" t="inlineStr"/>
      <c r="E83" s="5" t="inlineStr"/>
      <c r="F83" s="5" t="inlineStr"/>
      <c r="G83" s="5" t="n">
        <v>5</v>
      </c>
      <c r="H83" s="5" t="n">
        <v>1</v>
      </c>
      <c r="I83" s="5" t="inlineStr">
        <is>
          <t>ea</t>
        </is>
      </c>
      <c r="K83" s="5">
        <f>IF(J83="","",H83*J83)</f>
        <v/>
      </c>
    </row>
    <row r="84">
      <c r="A84" s="5" t="inlineStr">
        <is>
          <t>2B</t>
        </is>
      </c>
      <c r="B84" s="5" t="inlineStr">
        <is>
          <t>EUH-9</t>
        </is>
      </c>
      <c r="C84" s="6" t="inlineStr">
        <is>
          <t>Storage room, AL south</t>
        </is>
      </c>
      <c r="D84" s="5" t="inlineStr"/>
      <c r="E84" s="5" t="inlineStr"/>
      <c r="F84" s="5" t="inlineStr"/>
      <c r="G84" s="5" t="n">
        <v>3</v>
      </c>
      <c r="H84" s="5" t="n">
        <v>1</v>
      </c>
      <c r="I84" s="5" t="inlineStr">
        <is>
          <t>ea</t>
        </is>
      </c>
      <c r="K84" s="5">
        <f>IF(J84="","",H84*J84)</f>
        <v/>
      </c>
    </row>
    <row r="85"/>
    <row r="86">
      <c r="A86" s="2" t="inlineStr">
        <is>
          <t>3 Deleted - credit</t>
        </is>
      </c>
    </row>
    <row r="87">
      <c r="A87" s="3" t="inlineStr">
        <is>
          <t>Section</t>
        </is>
      </c>
      <c r="B87" s="3" t="inlineStr">
        <is>
          <t>Tag / item</t>
        </is>
      </c>
      <c r="C87" s="4" t="inlineStr">
        <is>
          <t>Description</t>
        </is>
      </c>
      <c r="D87" s="3" t="inlineStr">
        <is>
          <t>Inlet</t>
        </is>
      </c>
      <c r="E87" s="3" t="inlineStr">
        <is>
          <t>Max CFM</t>
        </is>
      </c>
      <c r="F87" s="3" t="inlineStr">
        <is>
          <t>Min CFM</t>
        </is>
      </c>
      <c r="G87" s="3" t="inlineStr">
        <is>
          <t>Elec. heat kW</t>
        </is>
      </c>
      <c r="H87" s="3" t="inlineStr">
        <is>
          <t>Qty</t>
        </is>
      </c>
      <c r="I87" s="3" t="inlineStr">
        <is>
          <t>Unit</t>
        </is>
      </c>
      <c r="J87" s="3" t="inlineStr">
        <is>
          <t>Unit price</t>
        </is>
      </c>
      <c r="K87" s="3" t="inlineStr">
        <is>
          <t>Extended</t>
        </is>
      </c>
      <c r="L87" s="3" t="inlineStr">
        <is>
          <t>Lead time</t>
        </is>
      </c>
      <c r="M87" s="3" t="inlineStr">
        <is>
          <t>Notes</t>
        </is>
      </c>
    </row>
    <row r="88">
      <c r="A88" s="5" t="inlineStr">
        <is>
          <t>3</t>
        </is>
      </c>
      <c r="B88" s="5" t="inlineStr"/>
      <c r="C88" s="6" t="inlineStr">
        <is>
          <t>Boilers B-1, B-2, B-3 (1,999 MBH input, fire tube)</t>
        </is>
      </c>
      <c r="D88" s="5" t="inlineStr"/>
      <c r="E88" s="5" t="inlineStr"/>
      <c r="F88" s="5" t="inlineStr"/>
      <c r="G88" s="5" t="inlineStr"/>
      <c r="H88" s="5" t="n">
        <v>-3</v>
      </c>
      <c r="I88" s="5" t="inlineStr">
        <is>
          <t>ea</t>
        </is>
      </c>
      <c r="K88" s="5">
        <f>IF(J88="","",H88*J88)</f>
        <v/>
      </c>
    </row>
    <row r="89">
      <c r="A89" s="5" t="inlineStr">
        <is>
          <t>3</t>
        </is>
      </c>
      <c r="B89" s="5" t="inlineStr"/>
      <c r="C89" s="6" t="inlineStr">
        <is>
          <t>Boiler pumps BP-1, BP-2</t>
        </is>
      </c>
      <c r="D89" s="5" t="inlineStr"/>
      <c r="E89" s="5" t="inlineStr"/>
      <c r="F89" s="5" t="inlineStr"/>
      <c r="G89" s="5" t="inlineStr"/>
      <c r="H89" s="5" t="n">
        <v>-2</v>
      </c>
      <c r="I89" s="5" t="inlineStr">
        <is>
          <t>ea</t>
        </is>
      </c>
      <c r="K89" s="5">
        <f>IF(J89="","",H89*J89)</f>
        <v/>
      </c>
    </row>
    <row r="90">
      <c r="A90" s="5" t="inlineStr">
        <is>
          <t>3</t>
        </is>
      </c>
      <c r="B90" s="5" t="inlineStr"/>
      <c r="C90" s="6" t="inlineStr">
        <is>
          <t>Primary pumps PP-1, PP-2</t>
        </is>
      </c>
      <c r="D90" s="5" t="inlineStr"/>
      <c r="E90" s="5" t="inlineStr"/>
      <c r="F90" s="5" t="inlineStr"/>
      <c r="G90" s="5" t="inlineStr"/>
      <c r="H90" s="5" t="n">
        <v>-2</v>
      </c>
      <c r="I90" s="5" t="inlineStr">
        <is>
          <t>ea</t>
        </is>
      </c>
      <c r="K90" s="5">
        <f>IF(J90="","",H90*J90)</f>
        <v/>
      </c>
    </row>
    <row r="91">
      <c r="A91" s="5" t="inlineStr">
        <is>
          <t>3</t>
        </is>
      </c>
      <c r="B91" s="5" t="inlineStr"/>
      <c r="C91" s="6" t="inlineStr">
        <is>
          <t>Glycol / snow melt pumps P-1 to P-4</t>
        </is>
      </c>
      <c r="D91" s="5" t="inlineStr"/>
      <c r="E91" s="5" t="inlineStr"/>
      <c r="F91" s="5" t="inlineStr"/>
      <c r="G91" s="5" t="inlineStr"/>
      <c r="H91" s="5" t="n">
        <v>-4</v>
      </c>
      <c r="I91" s="5" t="inlineStr">
        <is>
          <t>ea</t>
        </is>
      </c>
      <c r="K91" s="5">
        <f>IF(J91="","",H91*J91)</f>
        <v/>
      </c>
    </row>
    <row r="92">
      <c r="A92" s="5" t="inlineStr">
        <is>
          <t>3</t>
        </is>
      </c>
      <c r="B92" s="5" t="inlineStr"/>
      <c r="C92" s="6" t="inlineStr">
        <is>
          <t>Heat exchanger HX-3 (826 MBH, 30% PG)</t>
        </is>
      </c>
      <c r="D92" s="5" t="inlineStr"/>
      <c r="E92" s="5" t="inlineStr"/>
      <c r="F92" s="5" t="inlineStr"/>
      <c r="G92" s="5" t="inlineStr"/>
      <c r="H92" s="5" t="n">
        <v>-1</v>
      </c>
      <c r="I92" s="5" t="inlineStr">
        <is>
          <t>ea</t>
        </is>
      </c>
      <c r="K92" s="5">
        <f>IF(J92="","",H92*J92)</f>
        <v/>
      </c>
    </row>
    <row r="93">
      <c r="A93" s="5" t="inlineStr">
        <is>
          <t>3</t>
        </is>
      </c>
      <c r="B93" s="5" t="inlineStr"/>
      <c r="C93" s="6" t="inlineStr">
        <is>
          <t>Hydraulic separator HS-1, expansion tanks ET-1 / ET-2, air separator AS-1</t>
        </is>
      </c>
      <c r="D93" s="5" t="inlineStr"/>
      <c r="E93" s="5" t="inlineStr"/>
      <c r="F93" s="5" t="inlineStr"/>
      <c r="G93" s="5" t="inlineStr"/>
      <c r="H93" s="5" t="n">
        <v>-1</v>
      </c>
      <c r="I93" s="5" t="inlineStr">
        <is>
          <t>lot</t>
        </is>
      </c>
      <c r="K93" s="5">
        <f>IF(J93="","",H93*J93)</f>
        <v/>
      </c>
    </row>
    <row r="94">
      <c r="A94" s="5" t="inlineStr">
        <is>
          <t>3</t>
        </is>
      </c>
      <c r="B94" s="5" t="inlineStr"/>
      <c r="C94" s="6" t="inlineStr">
        <is>
          <t>Chemical pot feeder and glycol fill package</t>
        </is>
      </c>
      <c r="D94" s="5" t="inlineStr"/>
      <c r="E94" s="5" t="inlineStr"/>
      <c r="F94" s="5" t="inlineStr"/>
      <c r="G94" s="5" t="inlineStr"/>
      <c r="H94" s="5" t="n">
        <v>-1</v>
      </c>
      <c r="I94" s="5" t="inlineStr">
        <is>
          <t>lot</t>
        </is>
      </c>
      <c r="K94" s="5">
        <f>IF(J94="","",H94*J94)</f>
        <v/>
      </c>
    </row>
    <row r="95">
      <c r="A95" s="5" t="inlineStr">
        <is>
          <t>3</t>
        </is>
      </c>
      <c r="B95" s="5" t="inlineStr"/>
      <c r="C95" s="6" t="inlineStr">
        <is>
          <t>Hot water fan coil units FCU-A (basement)</t>
        </is>
      </c>
      <c r="D95" s="5" t="inlineStr"/>
      <c r="E95" s="5" t="inlineStr"/>
      <c r="F95" s="5" t="inlineStr"/>
      <c r="G95" s="5" t="inlineStr"/>
      <c r="H95" s="5" t="n">
        <v>-20</v>
      </c>
      <c r="I95" s="5" t="inlineStr">
        <is>
          <t>ea</t>
        </is>
      </c>
      <c r="K95" s="5">
        <f>IF(J95="","",H95*J95)</f>
        <v/>
      </c>
    </row>
    <row r="96">
      <c r="A96" s="5" t="inlineStr">
        <is>
          <t>3</t>
        </is>
      </c>
      <c r="B96" s="5" t="inlineStr"/>
      <c r="C96" s="6" t="inlineStr">
        <is>
          <t>Radiators RAD-1, RAD-2</t>
        </is>
      </c>
      <c r="D96" s="5" t="inlineStr"/>
      <c r="E96" s="5" t="inlineStr"/>
      <c r="F96" s="5" t="inlineStr"/>
      <c r="G96" s="5" t="inlineStr"/>
      <c r="H96" s="5" t="n">
        <v>-2</v>
      </c>
      <c r="I96" s="5" t="inlineStr">
        <is>
          <t>ea</t>
        </is>
      </c>
      <c r="K96" s="5">
        <f>IF(J96="","",H96*J96)</f>
        <v/>
      </c>
    </row>
    <row r="97">
      <c r="A97" s="5" t="inlineStr">
        <is>
          <t>3</t>
        </is>
      </c>
      <c r="B97" s="5" t="inlineStr"/>
      <c r="C97" s="6" t="inlineStr">
        <is>
          <t>Hot water cabinet heaters CH-1, CH-3 to CH-12</t>
        </is>
      </c>
      <c r="D97" s="5" t="inlineStr"/>
      <c r="E97" s="5" t="inlineStr"/>
      <c r="F97" s="5" t="inlineStr"/>
      <c r="G97" s="5" t="inlineStr"/>
      <c r="H97" s="5" t="n">
        <v>-11</v>
      </c>
      <c r="I97" s="5" t="inlineStr">
        <is>
          <t>ea</t>
        </is>
      </c>
      <c r="K97" s="5">
        <f>IF(J97="","",H97*J97)</f>
        <v/>
      </c>
    </row>
    <row r="98">
      <c r="A98" s="5" t="inlineStr">
        <is>
          <t>3</t>
        </is>
      </c>
      <c r="B98" s="5" t="inlineStr"/>
      <c r="C98" s="6" t="inlineStr">
        <is>
          <t>Hot water reheat coils on VAV boxes</t>
        </is>
      </c>
      <c r="D98" s="5" t="inlineStr"/>
      <c r="E98" s="5" t="inlineStr"/>
      <c r="F98" s="5" t="inlineStr"/>
      <c r="G98" s="5" t="inlineStr"/>
      <c r="H98" s="5" t="n">
        <v>-47</v>
      </c>
      <c r="I98" s="5" t="inlineStr">
        <is>
          <t>ea</t>
        </is>
      </c>
      <c r="K98" s="5">
        <f>IF(J98="","",H98*J98)</f>
        <v/>
      </c>
    </row>
    <row r="99">
      <c r="A99" s="5" t="inlineStr">
        <is>
          <t>3</t>
        </is>
      </c>
      <c r="B99" s="5" t="inlineStr"/>
      <c r="C99" s="6" t="inlineStr">
        <is>
          <t>VAV boxes cancelled (list in section 1C)</t>
        </is>
      </c>
      <c r="D99" s="5" t="inlineStr"/>
      <c r="E99" s="5" t="inlineStr"/>
      <c r="F99" s="5" t="inlineStr"/>
      <c r="G99" s="5" t="inlineStr"/>
      <c r="H99" s="5" t="n">
        <v>-18</v>
      </c>
      <c r="I99" s="5" t="inlineStr">
        <is>
          <t>ea</t>
        </is>
      </c>
      <c r="K99" s="5">
        <f>IF(J99="","",H99*J99)</f>
        <v/>
      </c>
    </row>
    <row r="100"/>
    <row r="101">
      <c r="A101" s="2" t="inlineStr">
        <is>
          <t>4 Alternate deducts</t>
        </is>
      </c>
    </row>
    <row r="102">
      <c r="A102" s="3" t="inlineStr">
        <is>
          <t>Section</t>
        </is>
      </c>
      <c r="B102" s="3" t="inlineStr">
        <is>
          <t>Tag / item</t>
        </is>
      </c>
      <c r="C102" s="4" t="inlineStr">
        <is>
          <t>Description</t>
        </is>
      </c>
      <c r="D102" s="3" t="inlineStr">
        <is>
          <t>Inlet</t>
        </is>
      </c>
      <c r="E102" s="3" t="inlineStr">
        <is>
          <t>Max CFM</t>
        </is>
      </c>
      <c r="F102" s="3" t="inlineStr">
        <is>
          <t>Min CFM</t>
        </is>
      </c>
      <c r="G102" s="3" t="inlineStr">
        <is>
          <t>Elec. heat kW</t>
        </is>
      </c>
      <c r="H102" s="3" t="inlineStr">
        <is>
          <t>Qty</t>
        </is>
      </c>
      <c r="I102" s="3" t="inlineStr">
        <is>
          <t>Unit</t>
        </is>
      </c>
      <c r="J102" s="3" t="inlineStr">
        <is>
          <t>Unit price</t>
        </is>
      </c>
      <c r="K102" s="3" t="inlineStr">
        <is>
          <t>Extended</t>
        </is>
      </c>
      <c r="L102" s="3" t="inlineStr">
        <is>
          <t>Lead time</t>
        </is>
      </c>
      <c r="M102" s="3" t="inlineStr">
        <is>
          <t>Notes</t>
        </is>
      </c>
    </row>
    <row r="103">
      <c r="A103" s="5" t="inlineStr">
        <is>
          <t>4</t>
        </is>
      </c>
      <c r="B103" s="5" t="inlineStr">
        <is>
          <t>ALT-1</t>
        </is>
      </c>
      <c r="C103" s="6" t="inlineStr">
        <is>
          <t>Deduct: combination fire / smoke dampers at apartment DOAS branches, 6x4 to 8x6, with actuators (floors 1 to 4)</t>
        </is>
      </c>
      <c r="D103" s="5" t="inlineStr"/>
      <c r="E103" s="5" t="inlineStr"/>
      <c r="F103" s="5" t="inlineStr"/>
      <c r="G103" s="5" t="inlineStr"/>
      <c r="H103" s="5" t="n">
        <v>-283</v>
      </c>
      <c r="I103" s="5" t="inlineStr">
        <is>
          <t>ea</t>
        </is>
      </c>
      <c r="K103" s="5">
        <f>IF(J103="","",H103*J103)</f>
        <v/>
      </c>
    </row>
    <row r="104">
      <c r="A104" s="5" t="inlineStr">
        <is>
          <t>4</t>
        </is>
      </c>
      <c r="B104" s="5" t="inlineStr">
        <is>
          <t>ALT-2</t>
        </is>
      </c>
      <c r="C104" s="6" t="inlineStr">
        <is>
          <t>Deduct: apartment bath exhaust fans TX-A (75 CFM, ceiling, 120 V)</t>
        </is>
      </c>
      <c r="D104" s="5" t="inlineStr"/>
      <c r="E104" s="5" t="inlineStr"/>
      <c r="F104" s="5" t="inlineStr"/>
      <c r="G104" s="5" t="inlineStr"/>
      <c r="H104" s="5" t="n">
        <v>-283</v>
      </c>
      <c r="I104" s="5" t="inlineStr">
        <is>
          <t>ea</t>
        </is>
      </c>
      <c r="K104" s="5">
        <f>IF(J104="","",H104*J104)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2026-10-06T19:51:49Z</dcterms:created>
  <dcterms:modified xsi:type="dcterms:W3CDTF">2026-10-06T19:51:49Z</dcterms:modified>
</cp:coreProperties>
</file>