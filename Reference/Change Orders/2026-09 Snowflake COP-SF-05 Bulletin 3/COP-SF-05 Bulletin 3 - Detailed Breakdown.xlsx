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reakdown by area" sheetId="1" state="visible" r:id="rId1"/>
    <sheet xmlns:r="http://schemas.openxmlformats.org/officeDocument/2006/relationships" name="Area scop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"/>
  </numFmts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1F3A5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 wrapText="1"/>
    </xf>
    <xf numFmtId="164" fontId="0" fillId="0" borderId="0" pivotButton="0" quotePrefix="0" xfId="0"/>
    <xf numFmtId="0" fontId="2" fillId="0" borderId="0" pivotButton="0" quotePrefix="0" xfId="0"/>
    <xf numFmtId="164" fontId="2" fillId="0" borderId="0" pivotButton="0" quotePrefix="0" xfId="0"/>
    <xf numFmtId="0" fontId="1" fillId="2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2"/>
  <sheetViews>
    <sheetView workbookViewId="0">
      <pane xSplit="3" ySplit="3" topLeftCell="D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7" customWidth="1" min="1" max="1"/>
    <col width="7" customWidth="1" min="2" max="2"/>
    <col width="58" customWidth="1" min="3" max="3"/>
    <col width="11" customWidth="1" min="4" max="4"/>
    <col width="12" customWidth="1" min="5" max="5"/>
    <col width="14" customWidth="1" min="6" max="6"/>
    <col width="10" customWidth="1" min="7" max="7"/>
    <col width="12" customWidth="1" min="8" max="8"/>
    <col width="14" customWidth="1" min="9" max="9"/>
    <col width="11" customWidth="1" min="10" max="10"/>
    <col width="12" customWidth="1" min="11" max="11"/>
    <col width="12" customWidth="1" min="12" max="12"/>
    <col width="12" customWidth="1" min="13" max="13"/>
  </cols>
  <sheetData>
    <row r="1">
      <c r="A1" t="inlineStr">
        <is>
          <t>COP-SF-05 Bulletin 3 Revision - Snowflake Fitout, 7 Times Square Fl 29-31 - Northern Wolves AC - 09/30/2026</t>
        </is>
      </c>
    </row>
    <row r="3">
      <c r="A3" s="1" t="inlineStr">
        <is>
          <t>Floor</t>
        </is>
      </c>
      <c r="B3" s="1" t="inlineStr">
        <is>
          <t>Area</t>
        </is>
      </c>
      <c r="C3" s="1" t="inlineStr">
        <is>
          <t>Description</t>
        </is>
      </c>
      <c r="D3" s="1" t="inlineStr">
        <is>
          <t>Disconnect MH</t>
        </is>
      </c>
      <c r="E3" s="1" t="inlineStr">
        <is>
          <t>Disconnect $</t>
        </is>
      </c>
      <c r="F3" s="1" t="inlineStr">
        <is>
          <t>Ductwork material $</t>
        </is>
      </c>
      <c r="G3" s="1" t="inlineStr">
        <is>
          <t>Install MH</t>
        </is>
      </c>
      <c r="H3" s="1" t="inlineStr">
        <is>
          <t>Install labor $</t>
        </is>
      </c>
      <c r="I3" s="1" t="inlineStr">
        <is>
          <t>Air outlet material $</t>
        </is>
      </c>
      <c r="J3" s="1" t="inlineStr">
        <is>
          <t>Air outlet MH</t>
        </is>
      </c>
      <c r="K3" s="1" t="inlineStr">
        <is>
          <t>Air outlet labor $</t>
        </is>
      </c>
      <c r="L3" s="1" t="inlineStr">
        <is>
          <t>Shop drawings $</t>
        </is>
      </c>
      <c r="M3" s="1" t="inlineStr">
        <is>
          <t>Total $</t>
        </is>
      </c>
    </row>
    <row r="4">
      <c r="A4" t="n">
        <v>29</v>
      </c>
      <c r="B4" t="inlineStr">
        <is>
          <t>29-1</t>
        </is>
      </c>
      <c r="C4" t="inlineStr">
        <is>
          <t>North supply main - reroute through existing beam cuts</t>
        </is>
      </c>
      <c r="D4" t="n">
        <v>12</v>
      </c>
      <c r="E4" s="2">
        <f>D4*125</f>
        <v/>
      </c>
      <c r="F4" s="2" t="n">
        <v>6075</v>
      </c>
      <c r="G4" t="n">
        <v>60</v>
      </c>
      <c r="H4" s="2">
        <f>G4*125</f>
        <v/>
      </c>
      <c r="I4" s="2" t="n">
        <v>0</v>
      </c>
      <c r="J4" t="n">
        <v>0</v>
      </c>
      <c r="K4" s="2">
        <f>J4*125</f>
        <v/>
      </c>
      <c r="L4" s="2" t="n">
        <v>0</v>
      </c>
      <c r="M4" s="2">
        <f>E4+F4+H4+I4+K4+L4</f>
        <v/>
      </c>
    </row>
    <row r="5">
      <c r="A5" t="n">
        <v>29</v>
      </c>
      <c r="B5" t="inlineStr">
        <is>
          <t>29-2</t>
        </is>
      </c>
      <c r="C5" t="inlineStr">
        <is>
          <t>Supply main resized 56x16 to 42x12</t>
        </is>
      </c>
      <c r="D5" t="n">
        <v>7</v>
      </c>
      <c r="E5" s="2">
        <f>D5*125</f>
        <v/>
      </c>
      <c r="F5" s="2" t="n">
        <v>3900</v>
      </c>
      <c r="G5" t="n">
        <v>50</v>
      </c>
      <c r="H5" s="2">
        <f>G5*125</f>
        <v/>
      </c>
      <c r="I5" s="2" t="n">
        <v>0</v>
      </c>
      <c r="J5" t="n">
        <v>0</v>
      </c>
      <c r="K5" s="2">
        <f>J5*125</f>
        <v/>
      </c>
      <c r="L5" s="2" t="n">
        <v>0</v>
      </c>
      <c r="M5" s="2">
        <f>E5+F5+H5+I5+K5+L5</f>
        <v/>
      </c>
    </row>
    <row r="6">
      <c r="A6" t="n">
        <v>29</v>
      </c>
      <c r="B6" t="inlineStr">
        <is>
          <t>29-3</t>
        </is>
      </c>
      <c r="C6" t="inlineStr">
        <is>
          <t>FPB-HW-E (1400) relocation and discharge reroute</t>
        </is>
      </c>
      <c r="D6" t="n">
        <v>2</v>
      </c>
      <c r="E6" s="2">
        <f>D6*125</f>
        <v/>
      </c>
      <c r="F6" s="2" t="n">
        <v>750</v>
      </c>
      <c r="G6" t="n">
        <v>12</v>
      </c>
      <c r="H6" s="2">
        <f>G6*125</f>
        <v/>
      </c>
      <c r="I6" s="2" t="n">
        <v>0</v>
      </c>
      <c r="J6" t="n">
        <v>0</v>
      </c>
      <c r="K6" s="2">
        <f>J6*125</f>
        <v/>
      </c>
      <c r="L6" s="2" t="n">
        <v>0</v>
      </c>
      <c r="M6" s="2">
        <f>E6+F6+H6+I6+K6+L6</f>
        <v/>
      </c>
    </row>
    <row r="7">
      <c r="A7" t="n">
        <v>29</v>
      </c>
      <c r="B7" t="inlineStr"/>
      <c r="C7" t="inlineStr">
        <is>
          <t>Shop drawings for revised design</t>
        </is>
      </c>
      <c r="D7" t="n">
        <v>0</v>
      </c>
      <c r="E7" s="2" t="n">
        <v>0</v>
      </c>
      <c r="F7" s="2" t="n">
        <v>0</v>
      </c>
      <c r="G7" t="n">
        <v>0</v>
      </c>
      <c r="H7" s="2" t="n">
        <v>0</v>
      </c>
      <c r="I7" s="2" t="n">
        <v>0</v>
      </c>
      <c r="J7" t="n">
        <v>0</v>
      </c>
      <c r="K7" s="2" t="n">
        <v>0</v>
      </c>
      <c r="L7" s="2" t="n">
        <v>1000</v>
      </c>
      <c r="M7" s="2">
        <f>L7</f>
        <v/>
      </c>
    </row>
    <row r="8">
      <c r="A8" s="3" t="n">
        <v>29</v>
      </c>
      <c r="B8" s="3" t="inlineStr"/>
      <c r="C8" s="3" t="inlineStr">
        <is>
          <t>29th floor total</t>
        </is>
      </c>
      <c r="D8" s="3">
        <f>SUM(D4:D7)</f>
        <v/>
      </c>
      <c r="E8" s="4">
        <f>SUM(E4:E7)</f>
        <v/>
      </c>
      <c r="F8" s="4">
        <f>SUM(F4:F7)</f>
        <v/>
      </c>
      <c r="G8" s="3">
        <f>SUM(G4:G7)</f>
        <v/>
      </c>
      <c r="H8" s="4">
        <f>SUM(H4:H7)</f>
        <v/>
      </c>
      <c r="I8" s="4">
        <f>SUM(I4:I7)</f>
        <v/>
      </c>
      <c r="J8" s="3">
        <f>SUM(J4:J7)</f>
        <v/>
      </c>
      <c r="K8" s="4">
        <f>SUM(K4:K7)</f>
        <v/>
      </c>
      <c r="L8" s="4">
        <f>SUM(L4:L7)</f>
        <v/>
      </c>
      <c r="M8" s="4">
        <f>SUM(M4:M7)</f>
        <v/>
      </c>
    </row>
    <row r="9">
      <c r="A9" t="n">
        <v>30</v>
      </c>
      <c r="B9" t="inlineStr">
        <is>
          <t>30-1</t>
        </is>
      </c>
      <c r="C9" t="inlineStr">
        <is>
          <t>IT Build Rm 30.23 / F&amp;B Storage 30.14 / west dining</t>
        </is>
      </c>
      <c r="D9" t="n">
        <v>6</v>
      </c>
      <c r="E9" s="2">
        <f>D9*125</f>
        <v/>
      </c>
      <c r="F9" s="2" t="n">
        <v>1700</v>
      </c>
      <c r="G9" t="n">
        <v>30</v>
      </c>
      <c r="H9" s="2">
        <f>G9*125</f>
        <v/>
      </c>
      <c r="I9" s="2" t="n">
        <v>500</v>
      </c>
      <c r="J9" t="n">
        <v>0</v>
      </c>
      <c r="K9" s="2">
        <f>J9*125</f>
        <v/>
      </c>
      <c r="L9" s="2" t="n">
        <v>0</v>
      </c>
      <c r="M9" s="2">
        <f>E9+F9+H9+I9+K9+L9</f>
        <v/>
      </c>
    </row>
    <row r="10">
      <c r="A10" t="n">
        <v>30</v>
      </c>
      <c r="B10" t="inlineStr">
        <is>
          <t>30-2</t>
        </is>
      </c>
      <c r="C10" t="inlineStr">
        <is>
          <t>Lounge 30.02 - new transfer ducts</t>
        </is>
      </c>
      <c r="D10" t="n">
        <v>0</v>
      </c>
      <c r="E10" s="2">
        <f>D10*125</f>
        <v/>
      </c>
      <c r="F10" s="2" t="n">
        <v>2150</v>
      </c>
      <c r="G10" t="n">
        <v>26</v>
      </c>
      <c r="H10" s="2">
        <f>G10*125</f>
        <v/>
      </c>
      <c r="I10" s="2" t="n">
        <v>0</v>
      </c>
      <c r="J10" t="n">
        <v>0</v>
      </c>
      <c r="K10" s="2">
        <f>J10*125</f>
        <v/>
      </c>
      <c r="L10" s="2" t="n">
        <v>0</v>
      </c>
      <c r="M10" s="2">
        <f>E10+F10+H10+I10+K10+L10</f>
        <v/>
      </c>
    </row>
    <row r="11">
      <c r="A11" t="n">
        <v>30</v>
      </c>
      <c r="B11" t="inlineStr">
        <is>
          <t>30-3</t>
        </is>
      </c>
      <c r="C11" t="inlineStr">
        <is>
          <t>Meeting Rms 30.04 / 30.05, Storage 30.09, Vestibule 30.07</t>
        </is>
      </c>
      <c r="D11" t="n">
        <v>16</v>
      </c>
      <c r="E11" s="2">
        <f>D11*125</f>
        <v/>
      </c>
      <c r="F11" s="2" t="n">
        <v>0</v>
      </c>
      <c r="G11" t="n">
        <v>24</v>
      </c>
      <c r="H11" s="2">
        <f>G11*125</f>
        <v/>
      </c>
      <c r="I11" s="2" t="n">
        <v>0</v>
      </c>
      <c r="J11" t="n">
        <v>0</v>
      </c>
      <c r="K11" s="2">
        <f>J11*125</f>
        <v/>
      </c>
      <c r="L11" s="2" t="n">
        <v>0</v>
      </c>
      <c r="M11" s="2">
        <f>E11+F11+H11+I11+K11+L11</f>
        <v/>
      </c>
    </row>
    <row r="12">
      <c r="A12" t="n">
        <v>30</v>
      </c>
      <c r="B12" t="inlineStr"/>
      <c r="C12" t="inlineStr">
        <is>
          <t>Shop drawings for revised design</t>
        </is>
      </c>
      <c r="D12" t="n">
        <v>0</v>
      </c>
      <c r="E12" s="2" t="n">
        <v>0</v>
      </c>
      <c r="F12" s="2" t="n">
        <v>0</v>
      </c>
      <c r="G12" t="n">
        <v>0</v>
      </c>
      <c r="H12" s="2" t="n">
        <v>0</v>
      </c>
      <c r="I12" s="2" t="n">
        <v>0</v>
      </c>
      <c r="J12" t="n">
        <v>0</v>
      </c>
      <c r="K12" s="2" t="n">
        <v>0</v>
      </c>
      <c r="L12" s="2" t="n">
        <v>1000</v>
      </c>
      <c r="M12" s="2">
        <f>L12</f>
        <v/>
      </c>
    </row>
    <row r="13">
      <c r="A13" s="3" t="n">
        <v>30</v>
      </c>
      <c r="B13" s="3" t="inlineStr"/>
      <c r="C13" s="3" t="inlineStr">
        <is>
          <t>30th floor total</t>
        </is>
      </c>
      <c r="D13" s="3">
        <f>SUM(D9:D12)</f>
        <v/>
      </c>
      <c r="E13" s="4">
        <f>SUM(E9:E12)</f>
        <v/>
      </c>
      <c r="F13" s="4">
        <f>SUM(F9:F12)</f>
        <v/>
      </c>
      <c r="G13" s="3">
        <f>SUM(G9:G12)</f>
        <v/>
      </c>
      <c r="H13" s="4">
        <f>SUM(H9:H12)</f>
        <v/>
      </c>
      <c r="I13" s="4">
        <f>SUM(I9:I12)</f>
        <v/>
      </c>
      <c r="J13" s="3">
        <f>SUM(J9:J12)</f>
        <v/>
      </c>
      <c r="K13" s="4">
        <f>SUM(K9:K12)</f>
        <v/>
      </c>
      <c r="L13" s="4">
        <f>SUM(L9:L12)</f>
        <v/>
      </c>
      <c r="M13" s="4">
        <f>SUM(M9:M12)</f>
        <v/>
      </c>
    </row>
    <row r="14">
      <c r="A14" t="n">
        <v>31</v>
      </c>
      <c r="B14" t="inlineStr">
        <is>
          <t>31-1</t>
        </is>
      </c>
      <c r="C14" t="inlineStr">
        <is>
          <t>Zoom rooms, northwest - transfer ducts</t>
        </is>
      </c>
      <c r="D14" t="n">
        <v>1</v>
      </c>
      <c r="E14" s="2">
        <f>D14*125</f>
        <v/>
      </c>
      <c r="F14" s="2" t="n">
        <v>330</v>
      </c>
      <c r="G14" t="n">
        <v>6</v>
      </c>
      <c r="H14" s="2">
        <f>G14*125</f>
        <v/>
      </c>
      <c r="I14" s="2" t="n">
        <v>0</v>
      </c>
      <c r="J14" t="n">
        <v>0</v>
      </c>
      <c r="K14" s="2">
        <f>J14*125</f>
        <v/>
      </c>
      <c r="L14" s="2" t="n">
        <v>0</v>
      </c>
      <c r="M14" s="2">
        <f>E14+F14+H14+I14+K14+L14</f>
        <v/>
      </c>
    </row>
    <row r="15">
      <c r="A15" t="n">
        <v>31</v>
      </c>
      <c r="B15" t="inlineStr">
        <is>
          <t>31-2</t>
        </is>
      </c>
      <c r="C15" t="inlineStr">
        <is>
          <t>Transfer duct TD 32x16, north</t>
        </is>
      </c>
      <c r="D15" t="n">
        <v>1</v>
      </c>
      <c r="E15" s="2">
        <f>D15*125</f>
        <v/>
      </c>
      <c r="F15" s="2" t="n">
        <v>300</v>
      </c>
      <c r="G15" t="n">
        <v>5</v>
      </c>
      <c r="H15" s="2">
        <f>G15*125</f>
        <v/>
      </c>
      <c r="I15" s="2" t="n">
        <v>0</v>
      </c>
      <c r="J15" t="n">
        <v>0</v>
      </c>
      <c r="K15" s="2">
        <f>J15*125</f>
        <v/>
      </c>
      <c r="L15" s="2" t="n">
        <v>0</v>
      </c>
      <c r="M15" s="2">
        <f>E15+F15+H15+I15+K15+L15</f>
        <v/>
      </c>
    </row>
    <row r="16">
      <c r="A16" t="n">
        <v>31</v>
      </c>
      <c r="B16" t="inlineStr">
        <is>
          <t>31-3</t>
        </is>
      </c>
      <c r="C16" t="inlineStr">
        <is>
          <t>Storage 31.02 - new transfer ducts</t>
        </is>
      </c>
      <c r="D16" t="n">
        <v>0</v>
      </c>
      <c r="E16" s="2">
        <f>D16*125</f>
        <v/>
      </c>
      <c r="F16" s="2" t="n">
        <v>1700</v>
      </c>
      <c r="G16" t="n">
        <v>20</v>
      </c>
      <c r="H16" s="2">
        <f>G16*125</f>
        <v/>
      </c>
      <c r="I16" s="2" t="n">
        <v>0</v>
      </c>
      <c r="J16" t="n">
        <v>0</v>
      </c>
      <c r="K16" s="2">
        <f>J16*125</f>
        <v/>
      </c>
      <c r="L16" s="2" t="n">
        <v>0</v>
      </c>
      <c r="M16" s="2">
        <f>E16+F16+H16+I16+K16+L16</f>
        <v/>
      </c>
    </row>
    <row r="17">
      <c r="A17" t="n">
        <v>31</v>
      </c>
      <c r="B17" t="inlineStr">
        <is>
          <t>31-4</t>
        </is>
      </c>
      <c r="C17" t="inlineStr">
        <is>
          <t>Coffee Bar 31.12 - transfer ducts and main fitting</t>
        </is>
      </c>
      <c r="D17" t="n">
        <v>6</v>
      </c>
      <c r="E17" s="2">
        <f>D17*125</f>
        <v/>
      </c>
      <c r="F17" s="2" t="n">
        <v>1700</v>
      </c>
      <c r="G17" t="n">
        <v>24</v>
      </c>
      <c r="H17" s="2">
        <f>G17*125</f>
        <v/>
      </c>
      <c r="I17" s="2" t="n">
        <v>0</v>
      </c>
      <c r="J17" t="n">
        <v>0</v>
      </c>
      <c r="K17" s="2">
        <f>J17*125</f>
        <v/>
      </c>
      <c r="L17" s="2" t="n">
        <v>0</v>
      </c>
      <c r="M17" s="2">
        <f>E17+F17+H17+I17+K17+L17</f>
        <v/>
      </c>
    </row>
    <row r="18">
      <c r="A18" t="n">
        <v>31</v>
      </c>
      <c r="B18" t="inlineStr">
        <is>
          <t>31-5</t>
        </is>
      </c>
      <c r="C18" t="inlineStr">
        <is>
          <t>Transfer duct TD 32x16, southwest</t>
        </is>
      </c>
      <c r="D18" t="n">
        <v>4</v>
      </c>
      <c r="E18" s="2">
        <f>D18*125</f>
        <v/>
      </c>
      <c r="F18" s="2" t="n">
        <v>650</v>
      </c>
      <c r="G18" t="n">
        <v>16</v>
      </c>
      <c r="H18" s="2">
        <f>G18*125</f>
        <v/>
      </c>
      <c r="I18" s="2" t="n">
        <v>0</v>
      </c>
      <c r="J18" t="n">
        <v>0</v>
      </c>
      <c r="K18" s="2">
        <f>J18*125</f>
        <v/>
      </c>
      <c r="L18" s="2" t="n">
        <v>0</v>
      </c>
      <c r="M18" s="2">
        <f>E18+F18+H18+I18+K18+L18</f>
        <v/>
      </c>
    </row>
    <row r="19">
      <c r="A19" t="n">
        <v>31</v>
      </c>
      <c r="B19" t="inlineStr">
        <is>
          <t>31-6</t>
        </is>
      </c>
      <c r="C19" t="inlineStr">
        <is>
          <t>Storage 31.15 / Room 31.16, southeast</t>
        </is>
      </c>
      <c r="D19" t="n">
        <v>5</v>
      </c>
      <c r="E19" s="2">
        <f>D19*125</f>
        <v/>
      </c>
      <c r="F19" s="2" t="n">
        <v>900</v>
      </c>
      <c r="G19" t="n">
        <v>12</v>
      </c>
      <c r="H19" s="2">
        <f>G19*125</f>
        <v/>
      </c>
      <c r="I19" s="2" t="n">
        <v>0</v>
      </c>
      <c r="J19" t="n">
        <v>0</v>
      </c>
      <c r="K19" s="2">
        <f>J19*125</f>
        <v/>
      </c>
      <c r="L19" s="2" t="n">
        <v>0</v>
      </c>
      <c r="M19" s="2">
        <f>E19+F19+H19+I19+K19+L19</f>
        <v/>
      </c>
    </row>
    <row r="20">
      <c r="A20" t="n">
        <v>31</v>
      </c>
      <c r="B20" t="inlineStr"/>
      <c r="C20" t="inlineStr">
        <is>
          <t>Shop drawings for revised design</t>
        </is>
      </c>
      <c r="D20" t="n">
        <v>0</v>
      </c>
      <c r="E20" s="2" t="n">
        <v>0</v>
      </c>
      <c r="F20" s="2" t="n">
        <v>0</v>
      </c>
      <c r="G20" t="n">
        <v>0</v>
      </c>
      <c r="H20" s="2" t="n">
        <v>0</v>
      </c>
      <c r="I20" s="2" t="n">
        <v>0</v>
      </c>
      <c r="J20" t="n">
        <v>0</v>
      </c>
      <c r="K20" s="2" t="n">
        <v>0</v>
      </c>
      <c r="L20" s="2" t="n">
        <v>1000</v>
      </c>
      <c r="M20" s="2">
        <f>L20</f>
        <v/>
      </c>
    </row>
    <row r="21">
      <c r="A21" s="3" t="n">
        <v>31</v>
      </c>
      <c r="B21" s="3" t="inlineStr"/>
      <c r="C21" s="3" t="inlineStr">
        <is>
          <t>31st floor total</t>
        </is>
      </c>
      <c r="D21" s="3">
        <f>SUM(D14:D20)</f>
        <v/>
      </c>
      <c r="E21" s="4">
        <f>SUM(E14:E20)</f>
        <v/>
      </c>
      <c r="F21" s="4">
        <f>SUM(F14:F20)</f>
        <v/>
      </c>
      <c r="G21" s="3">
        <f>SUM(G14:G20)</f>
        <v/>
      </c>
      <c r="H21" s="4">
        <f>SUM(H14:H20)</f>
        <v/>
      </c>
      <c r="I21" s="4">
        <f>SUM(I14:I20)</f>
        <v/>
      </c>
      <c r="J21" s="3">
        <f>SUM(J14:J20)</f>
        <v/>
      </c>
      <c r="K21" s="4">
        <f>SUM(K14:K20)</f>
        <v/>
      </c>
      <c r="L21" s="4">
        <f>SUM(L14:L20)</f>
        <v/>
      </c>
      <c r="M21" s="4">
        <f>SUM(M14:M20)</f>
        <v/>
      </c>
    </row>
    <row r="22">
      <c r="A22" s="3" t="inlineStr"/>
      <c r="B22" s="3" t="inlineStr"/>
      <c r="C22" s="3" t="inlineStr">
        <is>
          <t>TOTAL COP-SF-05</t>
        </is>
      </c>
      <c r="D22" s="3">
        <f>D8+D13+D21</f>
        <v/>
      </c>
      <c r="E22" s="4">
        <f>E8+E13+E21</f>
        <v/>
      </c>
      <c r="F22" s="4">
        <f>F8+F13+F21</f>
        <v/>
      </c>
      <c r="G22" s="3">
        <f>G8+G13+G21</f>
        <v/>
      </c>
      <c r="H22" s="4">
        <f>H8+H13+H21</f>
        <v/>
      </c>
      <c r="I22" s="4">
        <f>I8+I13+I21</f>
        <v/>
      </c>
      <c r="J22" s="3">
        <f>J8+J13+J21</f>
        <v/>
      </c>
      <c r="K22" s="4">
        <f>K8+K13+K21</f>
        <v/>
      </c>
      <c r="L22" s="4">
        <f>L8+L13+L21</f>
        <v/>
      </c>
      <c r="M22" s="4">
        <f>M8+M13+M21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cols>
    <col width="7" customWidth="1" min="1" max="1"/>
    <col width="6" customWidth="1" min="2" max="2"/>
    <col width="40" customWidth="1" min="3" max="3"/>
    <col width="60" customWidth="1" min="4" max="4"/>
    <col width="60" customWidth="1" min="5" max="5"/>
    <col width="60" customWidth="1" min="6" max="6"/>
  </cols>
  <sheetData>
    <row r="1">
      <c r="A1" s="5" t="inlineStr">
        <is>
          <t>Area</t>
        </is>
      </c>
      <c r="B1" s="5" t="inlineStr">
        <is>
          <t>Floor</t>
        </is>
      </c>
      <c r="C1" s="5" t="inlineStr">
        <is>
          <t>Title</t>
        </is>
      </c>
      <c r="D1" s="5" t="inlineStr">
        <is>
          <t>Before (Addendum 1, installed)</t>
        </is>
      </c>
      <c r="E1" s="5" t="inlineStr">
        <is>
          <t>After (Bulletin 3)</t>
        </is>
      </c>
      <c r="F1" s="5" t="inlineStr">
        <is>
          <t>Work required</t>
        </is>
      </c>
    </row>
    <row r="2">
      <c r="A2" s="6" t="inlineStr">
        <is>
          <t>29-1</t>
        </is>
      </c>
      <c r="B2" s="6" t="n">
        <v>29</v>
      </c>
      <c r="C2" s="6" t="inlineStr">
        <is>
          <t>North supply main - reroute through existing beam cuts</t>
        </is>
      </c>
      <c r="D2" s="6" t="inlineStr">
        <is>
          <t>46x16 supply main (approx. 20 LF, bottom el. 9'-9") with branch connections to FPB-HW-D (1500), FPB-HW-B (450) and FPB-B (200).</t>
        </is>
      </c>
      <c r="E2" s="6" t="inlineStr">
        <is>
          <t>Main rerouted as 22x10 and 30x10 through (2) existing beam cuts, 30x10 aligned with the beam running plan northeast. New 14ø branch to FPB-HW-D, 10ø to FPB-HW-B and 6ø to FPB-B.</t>
        </is>
      </c>
      <c r="F2" s="6" t="inlineStr">
        <is>
          <t>Disconnect and remove installed 46x16 section and branch connections. Fabricate and install 22x10 / 30x10 duct and round branches with insulation, reconnect terminal units.</t>
        </is>
      </c>
    </row>
    <row r="3">
      <c r="A3" s="6" t="inlineStr">
        <is>
          <t>29-2</t>
        </is>
      </c>
      <c r="B3" s="6" t="n">
        <v>29</v>
      </c>
      <c r="C3" s="6" t="inlineStr">
        <is>
          <t>Supply main resized 56x16 to 42x12</t>
        </is>
      </c>
      <c r="D3" s="6" t="inlineStr">
        <is>
          <t>56x16 supply main, approx. 44 LF, top el. 11'-1" / bottom el. 9'-9", Break Rm 29.57 to P.E.</t>
        </is>
      </c>
      <c r="E3" s="6" t="inlineStr">
        <is>
          <t>Main resized to 42x12 on the same route, top el. 11'-1" / bottom el. 10'-1".</t>
        </is>
      </c>
      <c r="F3" s="6" t="inlineStr">
        <is>
          <t>Disconnect and remove installed 56x16 main. Fabricate and install 42x12 main with insulation, reconnect branch takeoffs (FPB-HW-E, FPB-B (260)).</t>
        </is>
      </c>
    </row>
    <row r="4">
      <c r="A4" s="6" t="inlineStr">
        <is>
          <t>29-3</t>
        </is>
      </c>
      <c r="B4" s="6" t="n">
        <v>29</v>
      </c>
      <c r="C4" s="6" t="inlineStr">
        <is>
          <t>FPB-HW-E (1400) relocation and discharge reroute</t>
        </is>
      </c>
      <c r="D4" s="6" t="inlineStr">
        <is>
          <t>FPB-HW-E (1400) with inlet and 30x10 discharge to the G(400) / G(200) linear diffusers along the northeast wall.</t>
        </is>
      </c>
      <c r="E4" s="6" t="inlineStr">
        <is>
          <t>FPB-HW-E relocated; inlet connection and 30x10 discharge elbow rerouted.</t>
        </is>
      </c>
      <c r="F4" s="6" t="inlineStr">
        <is>
          <t>Disconnect inlet and discharge, relocate and rehang FPB-HW-E, fabricate and install new inlet and 30x10 discharge fittings, reconnect.</t>
        </is>
      </c>
    </row>
    <row r="5">
      <c r="A5" s="6" t="inlineStr">
        <is>
          <t>30-1</t>
        </is>
      </c>
      <c r="B5" s="6" t="n">
        <v>30</v>
      </c>
      <c r="C5" s="6" t="inlineStr">
        <is>
          <t>IT Build Rm 30.23 / F&amp;B Storage 30.14 / west dining</t>
        </is>
      </c>
      <c r="D5" s="6" t="inlineStr">
        <is>
          <t>12x10 branch with (2) C(220) ceiling diffusers; G(400) linear diffuser run on 16x12 branch.</t>
        </is>
      </c>
      <c r="E5" s="6" t="inlineStr">
        <is>
          <t>12x10 branch and (2) C(220) deleted, replaced with 10ø branch to (1) new G(440) linear diffuser. New 40x20 transfer duct at F&amp;B Storage 30.14. G(400) linear diffusers relocated along the 16x12 branch.</t>
        </is>
      </c>
      <c r="F5" s="6" t="inlineStr">
        <is>
          <t>Disconnect and remove 12x10 branch and (2) C(220). Install 10ø branch, 40x20 transfer duct, rework 16x12 branch. F&amp;I G(440) linear diffuser with plenum, relocate G(400) diffusers.</t>
        </is>
      </c>
    </row>
    <row r="6">
      <c r="A6" s="6" t="inlineStr">
        <is>
          <t>30-2</t>
        </is>
      </c>
      <c r="B6" s="6" t="n">
        <v>30</v>
      </c>
      <c r="C6" s="6" t="inlineStr">
        <is>
          <t>Lounge 30.02 - new transfer ducts</t>
        </is>
      </c>
      <c r="D6" s="6" t="inlineStr">
        <is>
          <t>No transfer ducts at Lounge 30.02 walls.</t>
        </is>
      </c>
      <c r="E6" s="6" t="inlineStr">
        <is>
          <t>(2) new 48x24 transfer ducts.</t>
        </is>
      </c>
      <c r="F6" s="6" t="inlineStr">
        <is>
          <t>Fabricate and install (2) 48x24 lined transfer ducts.</t>
        </is>
      </c>
    </row>
    <row r="7">
      <c r="A7" s="6" t="inlineStr">
        <is>
          <t>30-3</t>
        </is>
      </c>
      <c r="B7" s="6" t="n">
        <v>30</v>
      </c>
      <c r="C7" s="6" t="inlineStr">
        <is>
          <t>Meeting Rms 30.04 / 30.05, Storage 30.09, Vestibule 30.07</t>
        </is>
      </c>
      <c r="D7" s="6" t="inlineStr">
        <is>
          <t>FPB-HW-B (300) with supply connections; 44x20 transfer duct; (2) 12x12 grilles; 12ø branch to FPB-HW-D (1200).</t>
        </is>
      </c>
      <c r="E7" s="6" t="inlineStr">
        <is>
          <t>44x20 transfer duct relocated; (2) 12x12 grilles relocated to 5P / 7P Meeting; 12ø branch rerouted.</t>
        </is>
      </c>
      <c r="F7" s="6" t="inlineStr">
        <is>
          <t>Disconnect and remove affected duct, fittings and grilles. Install 44x20 transfer duct and 12ø branch at new locations.</t>
        </is>
      </c>
    </row>
    <row r="8">
      <c r="A8" s="6" t="inlineStr">
        <is>
          <t>31-1</t>
        </is>
      </c>
      <c r="B8" s="6" t="n">
        <v>31</v>
      </c>
      <c r="C8" s="6" t="inlineStr">
        <is>
          <t>Zoom rooms, northwest - transfer ducts</t>
        </is>
      </c>
      <c r="D8" s="6" t="inlineStr">
        <is>
          <t>(1) transfer duct (not sized on Addendum 1).</t>
        </is>
      </c>
      <c r="E8" s="6" t="inlineStr">
        <is>
          <t>TD 24x12 and new TD 18x12.</t>
        </is>
      </c>
      <c r="F8" s="6" t="inlineStr">
        <is>
          <t>Remove existing transfer duct; fabricate and install TD 24x12 and TD 18x12.</t>
        </is>
      </c>
    </row>
    <row r="9">
      <c r="A9" s="6" t="inlineStr">
        <is>
          <t>31-2</t>
        </is>
      </c>
      <c r="B9" s="6" t="n">
        <v>31</v>
      </c>
      <c r="C9" s="6" t="inlineStr">
        <is>
          <t>Transfer duct TD 32x16, north</t>
        </is>
      </c>
      <c r="D9" s="6" t="inlineStr">
        <is>
          <t>Transfer duct as installed per Addendum 1 (not sized on Addendum 1).</t>
        </is>
      </c>
      <c r="E9" s="6" t="inlineStr">
        <is>
          <t>Transfer duct revised to TD 32x16.</t>
        </is>
      </c>
      <c r="F9" s="6" t="inlineStr">
        <is>
          <t>Remove installed transfer duct; fabricate and install TD 32x16.</t>
        </is>
      </c>
    </row>
    <row r="10">
      <c r="A10" s="6" t="inlineStr">
        <is>
          <t>31-3</t>
        </is>
      </c>
      <c r="B10" s="6" t="n">
        <v>31</v>
      </c>
      <c r="C10" s="6" t="inlineStr">
        <is>
          <t>Storage 31.02 - new transfer ducts</t>
        </is>
      </c>
      <c r="D10" s="6" t="inlineStr">
        <is>
          <t>No transfer ducts; volume damper at FPB-HW-B (500) branch.</t>
        </is>
      </c>
      <c r="E10" s="6" t="inlineStr">
        <is>
          <t>(2) new 44x22 transfer ducts.</t>
        </is>
      </c>
      <c r="F10" s="6" t="inlineStr">
        <is>
          <t>Fabricate and install (2) 44x22 lined transfer ducts.</t>
        </is>
      </c>
    </row>
    <row r="11">
      <c r="A11" s="6" t="inlineStr">
        <is>
          <t>31-4</t>
        </is>
      </c>
      <c r="B11" s="6" t="n">
        <v>31</v>
      </c>
      <c r="C11" s="6" t="inlineStr">
        <is>
          <t>Coffee Bar 31.12 - transfer ducts and main fitting</t>
        </is>
      </c>
      <c r="D11" s="6" t="inlineStr">
        <is>
          <t>36x18 main with elbow at Coffee Bar 31.12; no transfer ducts.</t>
        </is>
      </c>
      <c r="E11" s="6" t="inlineStr">
        <is>
          <t>(2) new TD 28x16; 36x18 main elbow reconfigured.</t>
        </is>
      </c>
      <c r="F11" s="6" t="inlineStr">
        <is>
          <t>Disconnect and remove 36x18 elbow; fabricate and install new fitting and (2) TD 28x16.</t>
        </is>
      </c>
    </row>
    <row r="12">
      <c r="A12" s="6" t="inlineStr">
        <is>
          <t>31-5</t>
        </is>
      </c>
      <c r="B12" s="6" t="n">
        <v>31</v>
      </c>
      <c r="C12" s="6" t="inlineStr">
        <is>
          <t>Transfer duct TD 32x16, southwest</t>
        </is>
      </c>
      <c r="D12" s="6" t="inlineStr">
        <is>
          <t>Transfer duct and duct elbow as installed per Addendum 1, next to the 12x8 branch.</t>
        </is>
      </c>
      <c r="E12" s="6" t="inlineStr">
        <is>
          <t>Transfer duct revised to TD 32x16; elbow deleted.</t>
        </is>
      </c>
      <c r="F12" s="6" t="inlineStr">
        <is>
          <t>Remove installed transfer duct and elbow; fabricate and install TD 32x16.</t>
        </is>
      </c>
    </row>
    <row r="13">
      <c r="A13" s="6" t="inlineStr">
        <is>
          <t>31-6</t>
        </is>
      </c>
      <c r="B13" s="6" t="n">
        <v>31</v>
      </c>
      <c r="C13" s="6" t="inlineStr">
        <is>
          <t>Storage 31.15 / Room 31.16, southeast</t>
        </is>
      </c>
      <c r="D13" s="6" t="inlineStr">
        <is>
          <t>12x12 and 18x12 grilles at previous locations; no transfer duct at Storage 31.15.</t>
        </is>
      </c>
      <c r="E13" s="6" t="inlineStr">
        <is>
          <t>New TD 48x24; 12x12 and 18x12 grilles relocated.</t>
        </is>
      </c>
      <c r="F13" s="6" t="inlineStr">
        <is>
          <t>Remove grilles and their duct connections; fabricate and install TD 48x24, relocate 12x12 and 18x12 grilles with duct connections at new locations.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2026-09-30T01:26:19Z</dcterms:created>
  <dcterms:modified xmlns:dcterms="http://purl.org/dc/terms/" xmlns:xsi="http://www.w3.org/2001/XMLSchema-instance" xsi:type="dcterms:W3CDTF">2026-09-30T01:26:19Z</dcterms:modified>
</cp:coreProperties>
</file>