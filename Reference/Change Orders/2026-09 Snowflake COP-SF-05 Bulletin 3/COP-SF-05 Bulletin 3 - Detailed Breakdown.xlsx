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kdown by area" sheetId="1" state="visible" r:id="rId1"/>
    <sheet xmlns:r="http://schemas.openxmlformats.org/officeDocument/2006/relationships"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- 09/29/2026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6</v>
      </c>
      <c r="E4" s="2">
        <f>D4*125</f>
        <v/>
      </c>
      <c r="F4" s="2" t="n">
        <v>3600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7</v>
      </c>
      <c r="E5" s="2">
        <f>D5*125</f>
        <v/>
      </c>
      <c r="F5" s="2" t="n">
        <v>3900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3</v>
      </c>
      <c r="E6" s="2">
        <f>D6*125</f>
        <v/>
      </c>
      <c r="F6" s="2" t="n">
        <v>1600</v>
      </c>
      <c r="G6" t="n">
        <v>30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6</v>
      </c>
      <c r="E9" s="2">
        <f>D9*125</f>
        <v/>
      </c>
      <c r="F9" s="2" t="n">
        <v>1600</v>
      </c>
      <c r="G9" t="n">
        <v>28</v>
      </c>
      <c r="H9" s="2">
        <f>G9*125</f>
        <v/>
      </c>
      <c r="I9" s="2" t="n">
        <v>2000</v>
      </c>
      <c r="J9" t="n">
        <v>8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1300</v>
      </c>
      <c r="G10" t="n">
        <v>18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6</v>
      </c>
      <c r="E11" s="2">
        <f>D11*125</f>
        <v/>
      </c>
      <c r="F11" s="2" t="n">
        <v>1800</v>
      </c>
      <c r="G11" t="n">
        <v>24</v>
      </c>
      <c r="H11" s="2">
        <f>G11*125</f>
        <v/>
      </c>
      <c r="I11" s="2" t="n">
        <v>700</v>
      </c>
      <c r="J11" t="n">
        <v>4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 ducts</t>
        </is>
      </c>
      <c r="D14" t="n">
        <v>1</v>
      </c>
      <c r="E14" s="2">
        <f>D14*125</f>
        <v/>
      </c>
      <c r="F14" s="2" t="n">
        <v>330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duct TD 32x16, north</t>
        </is>
      </c>
      <c r="D15" t="n">
        <v>1</v>
      </c>
      <c r="E15" s="2">
        <f>D15*125</f>
        <v/>
      </c>
      <c r="F15" s="2" t="n">
        <v>300</v>
      </c>
      <c r="G15" t="n">
        <v>5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2</v>
      </c>
      <c r="E16" s="2">
        <f>D16*125</f>
        <v/>
      </c>
      <c r="F16" s="2" t="n">
        <v>900</v>
      </c>
      <c r="G16" t="n">
        <v>12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4</v>
      </c>
      <c r="E17" s="2">
        <f>D17*125</f>
        <v/>
      </c>
      <c r="F17" s="2" t="n">
        <v>1100</v>
      </c>
      <c r="G17" t="n">
        <v>18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duct TD 32x16, southwest</t>
        </is>
      </c>
      <c r="D18" t="n">
        <v>1</v>
      </c>
      <c r="E18" s="2">
        <f>D18*125</f>
        <v/>
      </c>
      <c r="F18" s="2" t="n">
        <v>300</v>
      </c>
      <c r="G18" t="n">
        <v>5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3</v>
      </c>
      <c r="E19" s="2">
        <f>D19*125</f>
        <v/>
      </c>
      <c r="F19" s="2" t="n">
        <v>1450</v>
      </c>
      <c r="G19" t="n">
        <v>24</v>
      </c>
      <c r="H19" s="2">
        <f>G19*125</f>
        <v/>
      </c>
      <c r="I19" s="2" t="n">
        <v>900</v>
      </c>
      <c r="J19" t="n">
        <v>4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31th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insulation, reconnect terminal units.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insulation, reconnect branch takeoffs (FPB-HW-E, FPB-B (260)).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linear diffusers relocated along the 16x12 branch.</t>
        </is>
      </c>
      <c r="F5" s="6" t="inlineStr">
        <is>
          <t>Disconnect and remove 12x10 branch and (2) C(220). Install 10ø branch, 40x20 transfer duct, rework 16x12 branch. F&amp;I G(440) linear diffuser with plenum, relocate G(400) diffusers.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ducts.</t>
        </is>
      </c>
      <c r="F6" s="6" t="inlineStr">
        <is>
          <t>Fabricate and install (2) 48x24 lined transfer ducts.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FPB-HW-B (300) with supply connections; 44x20 transfer duct; (2) 12x12 grilles; 12ø branch to FPB-HW-D (1200).</t>
        </is>
      </c>
      <c r="E7" s="6" t="inlineStr">
        <is>
          <t>FPB-HW-B (300) relocated; 44x20 transfer duct relocated; (2) 12x12 grilles relocated to 5P / 7P Meeting; 12ø branch rerouted.</t>
        </is>
      </c>
      <c r="F7" s="6" t="inlineStr">
        <is>
          <t>Disconnect and remove affected duct, fittings and grilles. Relocate FPB-HW-B, install 44x20 transfer duct and 12ø branch at new locations, F&amp;I (2) 12x12 grilles.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 ducts</t>
        </is>
      </c>
      <c r="D8" s="6" t="inlineStr">
        <is>
          <t>(1) transfer duct (not sized on Addendum 1).</t>
        </is>
      </c>
      <c r="E8" s="6" t="inlineStr">
        <is>
          <t>TD 24x12 and new TD 18x12.</t>
        </is>
      </c>
      <c r="F8" s="6" t="inlineStr">
        <is>
          <t>Remove existing transfer duct; fabricate and install TD 24x12 and TD 18x12.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duct TD 32x16, north</t>
        </is>
      </c>
      <c r="D9" s="6" t="inlineStr">
        <is>
          <t>Transfer duct as installed per Addendum 1 (not sized on Addendum 1).</t>
        </is>
      </c>
      <c r="E9" s="6" t="inlineStr">
        <is>
          <t>Transfer duct revised to TD 32x16.</t>
        </is>
      </c>
      <c r="F9" s="6" t="inlineStr">
        <is>
          <t>Remove installed transfer duct; fabricate and install TD 32x16.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ducts; volume damper at FPB-HW-B (500) branch.</t>
        </is>
      </c>
      <c r="E10" s="6" t="inlineStr">
        <is>
          <t>(2) new 44x22 transfer ducts.</t>
        </is>
      </c>
      <c r="F10" s="6" t="inlineStr">
        <is>
          <t>Remove affected branch fitting; 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duct TD 32x16, southwest</t>
        </is>
      </c>
      <c r="D12" s="6" t="inlineStr">
        <is>
          <t>Transfer duct and duct elbow as installed per Addendum 1, next to the 12x8 branch.</t>
        </is>
      </c>
      <c r="E12" s="6" t="inlineStr">
        <is>
          <t>Transfer duct revised to TD 32x16; elbow deleted.</t>
        </is>
      </c>
      <c r="F12" s="6" t="inlineStr">
        <is>
          <t>Remove installed transfer duct and elbow; fabricate and install TD 32x16.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fabricate and install TD 48x24, F&amp;I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2026-09-29T22:30:24Z</dcterms:created>
  <dcterms:modified xmlns:dcterms="http://purl.org/dc/terms/" xmlns:xsi="http://www.w3.org/2001/XMLSchema-instance" xsi:type="dcterms:W3CDTF">2026-09-29T22:30:24Z</dcterms:modified>
</cp:coreProperties>
</file>