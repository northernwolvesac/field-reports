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  <sheet name="By area" sheetId="2" state="visible" r:id="rId2"/>
    <sheet name="By flo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1" t="inlineStr">
        <is>
          <t>Rate</t>
        </is>
      </c>
      <c r="B1" s="1" t="inlineStr">
        <is>
          <t>Value</t>
        </is>
      </c>
    </row>
    <row r="2">
      <c r="A2" t="inlineStr">
        <is>
          <t>Linear diffuser $/LF</t>
        </is>
      </c>
      <c r="B2" t="n">
        <v>90</v>
      </c>
    </row>
    <row r="3">
      <c r="A3" t="inlineStr">
        <is>
          <t>LF per diffuser</t>
        </is>
      </c>
      <c r="B3" t="n">
        <v>4</v>
      </c>
    </row>
    <row r="4">
      <c r="A4" t="inlineStr">
        <is>
          <t>Plenum box $/EA</t>
        </is>
      </c>
      <c r="B4" t="n">
        <v>95</v>
      </c>
    </row>
    <row r="5">
      <c r="A5" t="inlineStr">
        <is>
          <t>Branch $/EA</t>
        </is>
      </c>
      <c r="B5" t="n">
        <v>45</v>
      </c>
    </row>
    <row r="6">
      <c r="A6" t="inlineStr">
        <is>
          <t>VD/CO $/EA</t>
        </is>
      </c>
      <c r="B6" t="n">
        <v>85</v>
      </c>
    </row>
    <row r="7">
      <c r="A7" t="inlineStr">
        <is>
          <t>Mechanic MH per diffuser</t>
        </is>
      </c>
      <c r="B7" t="n">
        <v>5.5</v>
      </c>
    </row>
    <row r="8">
      <c r="A8" t="inlineStr">
        <is>
          <t>Mechanic $/MH</t>
        </is>
      </c>
      <c r="B8" t="n">
        <v>125</v>
      </c>
    </row>
    <row r="9">
      <c r="A9" t="inlineStr">
        <is>
          <t>Foreman $/HR</t>
        </is>
      </c>
      <c r="B9" t="n">
        <v>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48" customWidth="1" min="3" max="3"/>
    <col width="7" customWidth="1" min="4" max="4"/>
    <col width="8" customWidth="1" min="5" max="5"/>
    <col width="11" customWidth="1" min="6" max="6"/>
    <col width="9" customWidth="1" min="7" max="7"/>
    <col width="11" customWidth="1" min="8" max="8"/>
    <col width="11" customWidth="1" min="9" max="9"/>
  </cols>
  <sheetData>
    <row r="1">
      <c r="A1" s="1" t="inlineStr">
        <is>
          <t>Floor</t>
        </is>
      </c>
      <c r="B1" s="1" t="inlineStr">
        <is>
          <t>Area</t>
        </is>
      </c>
      <c r="C1" s="1" t="inlineStr">
        <is>
          <t>Location</t>
        </is>
      </c>
      <c r="D1" s="1" t="inlineStr">
        <is>
          <t>LD qty</t>
        </is>
      </c>
      <c r="E1" s="1" t="inlineStr">
        <is>
          <t>CFM</t>
        </is>
      </c>
      <c r="F1" s="1" t="inlineStr">
        <is>
          <t>Material $</t>
        </is>
      </c>
      <c r="G1" s="1" t="inlineStr">
        <is>
          <t>Labor MH</t>
        </is>
      </c>
      <c r="H1" s="1" t="inlineStr">
        <is>
          <t>Labor $</t>
        </is>
      </c>
      <c r="I1" s="1" t="inlineStr">
        <is>
          <t>Total $</t>
        </is>
      </c>
    </row>
    <row r="2">
      <c r="A2" t="n">
        <v>29</v>
      </c>
      <c r="B2" t="inlineStr">
        <is>
          <t>29-1</t>
        </is>
      </c>
      <c r="C2" t="inlineStr">
        <is>
          <t>North-east corner, W 42nd St / Broadway</t>
        </is>
      </c>
      <c r="D2" t="n">
        <v>4</v>
      </c>
      <c r="E2" t="n">
        <v>1200</v>
      </c>
      <c r="F2" s="2">
        <f>D2*(Rates!$B$2*Rates!$B$3+Rates!$B$4+Rates!$B$5+Rates!$B$6)</f>
        <v/>
      </c>
      <c r="G2">
        <f>D2*Rates!$B$7</f>
        <v/>
      </c>
      <c r="H2" s="2">
        <f>G2*Rates!$B$8</f>
        <v/>
      </c>
      <c r="I2" s="2">
        <f>F2+H2</f>
        <v/>
      </c>
    </row>
    <row r="3">
      <c r="A3" t="n">
        <v>29</v>
      </c>
      <c r="B3" t="inlineStr">
        <is>
          <t>29-2</t>
        </is>
      </c>
      <c r="C3" t="inlineStr">
        <is>
          <t>Seventh Ave, north</t>
        </is>
      </c>
      <c r="D3" t="n">
        <v>3</v>
      </c>
      <c r="E3" t="n">
        <v>800</v>
      </c>
      <c r="F3" s="2">
        <f>D3*(Rates!$B$2*Rates!$B$3+Rates!$B$4+Rates!$B$5+Rates!$B$6)</f>
        <v/>
      </c>
      <c r="G3">
        <f>D3*Rates!$B$7</f>
        <v/>
      </c>
      <c r="H3" s="2">
        <f>G3*Rates!$B$8</f>
        <v/>
      </c>
      <c r="I3" s="2">
        <f>F3+H3</f>
        <v/>
      </c>
    </row>
    <row r="4">
      <c r="A4" t="n">
        <v>29</v>
      </c>
      <c r="B4" t="inlineStr">
        <is>
          <t>29-3</t>
        </is>
      </c>
      <c r="C4" t="inlineStr">
        <is>
          <t>Seventh Ave, Open Office 29.42</t>
        </is>
      </c>
      <c r="D4" t="n">
        <v>6</v>
      </c>
      <c r="E4" t="n">
        <v>1600</v>
      </c>
      <c r="F4" s="2">
        <f>D4*(Rates!$B$2*Rates!$B$3+Rates!$B$4+Rates!$B$5+Rates!$B$6)</f>
        <v/>
      </c>
      <c r="G4">
        <f>D4*Rates!$B$7</f>
        <v/>
      </c>
      <c r="H4" s="2">
        <f>G4*Rates!$B$8</f>
        <v/>
      </c>
      <c r="I4" s="2">
        <f>F4+H4</f>
        <v/>
      </c>
    </row>
    <row r="5">
      <c r="A5" t="n">
        <v>29</v>
      </c>
      <c r="B5" t="inlineStr">
        <is>
          <t>29-4</t>
        </is>
      </c>
      <c r="C5" t="inlineStr">
        <is>
          <t>Broadway, north</t>
        </is>
      </c>
      <c r="D5" t="n">
        <v>2</v>
      </c>
      <c r="E5" t="n">
        <v>400</v>
      </c>
      <c r="F5" s="2">
        <f>D5*(Rates!$B$2*Rates!$B$3+Rates!$B$4+Rates!$B$5+Rates!$B$6)</f>
        <v/>
      </c>
      <c r="G5">
        <f>D5*Rates!$B$7</f>
        <v/>
      </c>
      <c r="H5" s="2">
        <f>G5*Rates!$B$8</f>
        <v/>
      </c>
      <c r="I5" s="2">
        <f>F5+H5</f>
        <v/>
      </c>
    </row>
    <row r="6">
      <c r="A6" t="n">
        <v>29</v>
      </c>
      <c r="B6" t="inlineStr">
        <is>
          <t>29-5</t>
        </is>
      </c>
      <c r="C6" t="inlineStr">
        <is>
          <t>Seventh Ave, south (north end of sheet B)</t>
        </is>
      </c>
      <c r="D6" t="n">
        <v>4</v>
      </c>
      <c r="E6" t="n">
        <v>1200</v>
      </c>
      <c r="F6" s="2">
        <f>D6*(Rates!$B$2*Rates!$B$3+Rates!$B$4+Rates!$B$5+Rates!$B$6)</f>
        <v/>
      </c>
      <c r="G6">
        <f>D6*Rates!$B$7</f>
        <v/>
      </c>
      <c r="H6" s="2">
        <f>G6*Rates!$B$8</f>
        <v/>
      </c>
      <c r="I6" s="2">
        <f>F6+H6</f>
        <v/>
      </c>
    </row>
    <row r="7">
      <c r="A7" t="n">
        <v>29</v>
      </c>
      <c r="B7" t="inlineStr">
        <is>
          <t>29-6</t>
        </is>
      </c>
      <c r="C7" t="inlineStr">
        <is>
          <t>Seventh Ave, south</t>
        </is>
      </c>
      <c r="D7" t="n">
        <v>4</v>
      </c>
      <c r="E7" t="n">
        <v>1200</v>
      </c>
      <c r="F7" s="2">
        <f>D7*(Rates!$B$2*Rates!$B$3+Rates!$B$4+Rates!$B$5+Rates!$B$6)</f>
        <v/>
      </c>
      <c r="G7">
        <f>D7*Rates!$B$7</f>
        <v/>
      </c>
      <c r="H7" s="2">
        <f>G7*Rates!$B$8</f>
        <v/>
      </c>
      <c r="I7" s="2">
        <f>F7+H7</f>
        <v/>
      </c>
    </row>
    <row r="8">
      <c r="A8" t="n">
        <v>30</v>
      </c>
      <c r="B8" t="inlineStr">
        <is>
          <t>30-1</t>
        </is>
      </c>
      <c r="C8" t="inlineStr">
        <is>
          <t>Seventh Ave, north</t>
        </is>
      </c>
      <c r="D8" t="n">
        <v>3</v>
      </c>
      <c r="E8" t="n">
        <v>800</v>
      </c>
      <c r="F8" s="2">
        <f>D8*(Rates!$B$2*Rates!$B$3+Rates!$B$4+Rates!$B$5+Rates!$B$6)</f>
        <v/>
      </c>
      <c r="G8">
        <f>D8*Rates!$B$7</f>
        <v/>
      </c>
      <c r="H8" s="2">
        <f>G8*Rates!$B$8</f>
        <v/>
      </c>
      <c r="I8" s="2">
        <f>F8+H8</f>
        <v/>
      </c>
    </row>
    <row r="9">
      <c r="A9" t="n">
        <v>30</v>
      </c>
      <c r="B9" t="inlineStr">
        <is>
          <t>30-2</t>
        </is>
      </c>
      <c r="C9" t="inlineStr">
        <is>
          <t>Seventh Ave, Open Office 30.35</t>
        </is>
      </c>
      <c r="D9" t="n">
        <v>5</v>
      </c>
      <c r="E9" t="n">
        <v>1300</v>
      </c>
      <c r="F9" s="2">
        <f>D9*(Rates!$B$2*Rates!$B$3+Rates!$B$4+Rates!$B$5+Rates!$B$6)</f>
        <v/>
      </c>
      <c r="G9">
        <f>D9*Rates!$B$7</f>
        <v/>
      </c>
      <c r="H9" s="2">
        <f>G9*Rates!$B$8</f>
        <v/>
      </c>
      <c r="I9" s="2">
        <f>F9+H9</f>
        <v/>
      </c>
    </row>
    <row r="10">
      <c r="A10" t="n">
        <v>30</v>
      </c>
      <c r="B10" t="inlineStr">
        <is>
          <t>30-3</t>
        </is>
      </c>
      <c r="C10" t="inlineStr">
        <is>
          <t>South wall (W 41st St side)</t>
        </is>
      </c>
      <c r="D10" t="n">
        <v>4</v>
      </c>
      <c r="E10" t="n">
        <v>1200</v>
      </c>
      <c r="F10" s="2">
        <f>D10*(Rates!$B$2*Rates!$B$3+Rates!$B$4+Rates!$B$5+Rates!$B$6)</f>
        <v/>
      </c>
      <c r="G10">
        <f>D10*Rates!$B$7</f>
        <v/>
      </c>
      <c r="H10" s="2">
        <f>G10*Rates!$B$8</f>
        <v/>
      </c>
      <c r="I10" s="2">
        <f>F10+H10</f>
        <v/>
      </c>
    </row>
    <row r="11">
      <c r="A11" t="n">
        <v>31</v>
      </c>
      <c r="B11" t="inlineStr">
        <is>
          <t>31-1</t>
        </is>
      </c>
      <c r="C11" t="inlineStr">
        <is>
          <t>Seventh Ave, north (Focus Rm 31.65 / Corridor 31.51)</t>
        </is>
      </c>
      <c r="D11" t="n">
        <v>2</v>
      </c>
      <c r="E11" t="n">
        <v>400</v>
      </c>
      <c r="F11" s="2">
        <f>D11*(Rates!$B$2*Rates!$B$3+Rates!$B$4+Rates!$B$5+Rates!$B$6)</f>
        <v/>
      </c>
      <c r="G11">
        <f>D11*Rates!$B$7</f>
        <v/>
      </c>
      <c r="H11" s="2">
        <f>G11*Rates!$B$8</f>
        <v/>
      </c>
      <c r="I11" s="2">
        <f>F11+H11</f>
        <v/>
      </c>
    </row>
    <row r="12">
      <c r="A12" t="n">
        <v>31</v>
      </c>
      <c r="B12" t="inlineStr">
        <is>
          <t>31-2</t>
        </is>
      </c>
      <c r="C12" t="inlineStr">
        <is>
          <t>Seventh Ave, Huddle Rms 31.46 / 31.47</t>
        </is>
      </c>
      <c r="D12" t="n">
        <v>3</v>
      </c>
      <c r="E12" t="n">
        <v>800</v>
      </c>
      <c r="F12" s="2">
        <f>D12*(Rates!$B$2*Rates!$B$3+Rates!$B$4+Rates!$B$5+Rates!$B$6)</f>
        <v/>
      </c>
      <c r="G12">
        <f>D12*Rates!$B$7</f>
        <v/>
      </c>
      <c r="H12" s="2">
        <f>G12*Rates!$B$8</f>
        <v/>
      </c>
      <c r="I12" s="2">
        <f>F12+H12</f>
        <v/>
      </c>
    </row>
    <row r="13">
      <c r="A13" t="n">
        <v>31</v>
      </c>
      <c r="B13" t="inlineStr">
        <is>
          <t>31-3</t>
        </is>
      </c>
      <c r="C13" t="inlineStr">
        <is>
          <t>Seventh Ave, at IDF 31.44 (match line)</t>
        </is>
      </c>
      <c r="D13" t="n">
        <v>1</v>
      </c>
      <c r="E13" t="n">
        <v>300</v>
      </c>
      <c r="F13" s="2">
        <f>D13*(Rates!$B$2*Rates!$B$3+Rates!$B$4+Rates!$B$5+Rates!$B$6)</f>
        <v/>
      </c>
      <c r="G13">
        <f>D13*Rates!$B$7</f>
        <v/>
      </c>
      <c r="H13" s="2">
        <f>G13*Rates!$B$8</f>
        <v/>
      </c>
      <c r="I13" s="2">
        <f>F13+H13</f>
        <v/>
      </c>
    </row>
    <row r="14">
      <c r="A14" t="n">
        <v>31</v>
      </c>
      <c r="B14" t="inlineStr">
        <is>
          <t>31-4</t>
        </is>
      </c>
      <c r="C14" t="inlineStr">
        <is>
          <t>Seventh Ave, 7P Meeting Rm 31.43</t>
        </is>
      </c>
      <c r="D14" t="n">
        <v>3</v>
      </c>
      <c r="E14" t="n">
        <v>900</v>
      </c>
      <c r="F14" s="2">
        <f>D14*(Rates!$B$2*Rates!$B$3+Rates!$B$4+Rates!$B$5+Rates!$B$6)</f>
        <v/>
      </c>
      <c r="G14">
        <f>D14*Rates!$B$7</f>
        <v/>
      </c>
      <c r="H14" s="2">
        <f>G14*Rates!$B$8</f>
        <v/>
      </c>
      <c r="I14" s="2">
        <f>F14+H14</f>
        <v/>
      </c>
    </row>
    <row r="15">
      <c r="A15" t="n">
        <v>31</v>
      </c>
      <c r="B15" t="inlineStr">
        <is>
          <t>31-5</t>
        </is>
      </c>
      <c r="C15" t="inlineStr">
        <is>
          <t>Seventh Ave, south</t>
        </is>
      </c>
      <c r="D15" t="n">
        <v>3</v>
      </c>
      <c r="E15" t="n">
        <v>800</v>
      </c>
      <c r="F15" s="2">
        <f>D15*(Rates!$B$2*Rates!$B$3+Rates!$B$4+Rates!$B$5+Rates!$B$6)</f>
        <v/>
      </c>
      <c r="G15">
        <f>D15*Rates!$B$7</f>
        <v/>
      </c>
      <c r="H15" s="2">
        <f>G15*Rates!$B$8</f>
        <v/>
      </c>
      <c r="I15" s="2">
        <f>F15+H15</f>
        <v/>
      </c>
    </row>
    <row r="16">
      <c r="A16" t="n">
        <v>31</v>
      </c>
      <c r="B16" t="inlineStr">
        <is>
          <t>31-6</t>
        </is>
      </c>
      <c r="C16" t="inlineStr">
        <is>
          <t>Broadway, south</t>
        </is>
      </c>
      <c r="D16" t="n">
        <v>2</v>
      </c>
      <c r="E16" t="n">
        <v>600</v>
      </c>
      <c r="F16" s="2">
        <f>D16*(Rates!$B$2*Rates!$B$3+Rates!$B$4+Rates!$B$5+Rates!$B$6)</f>
        <v/>
      </c>
      <c r="G16">
        <f>D16*Rates!$B$7</f>
        <v/>
      </c>
      <c r="H16" s="2">
        <f>G16*Rates!$B$8</f>
        <v/>
      </c>
      <c r="I16" s="2">
        <f>F16+H16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Floor</t>
        </is>
      </c>
      <c r="B1" s="1" t="inlineStr">
        <is>
          <t>LD qty</t>
        </is>
      </c>
      <c r="C1" s="1" t="inlineStr">
        <is>
          <t>Material $</t>
        </is>
      </c>
      <c r="D1" s="1" t="inlineStr">
        <is>
          <t>Labor $</t>
        </is>
      </c>
      <c r="E1" s="1" t="inlineStr">
        <is>
          <t>Foreman hr</t>
        </is>
      </c>
      <c r="F1" s="1" t="inlineStr">
        <is>
          <t>Foreman $</t>
        </is>
      </c>
      <c r="G1" s="1" t="inlineStr">
        <is>
          <t>Air balancing $</t>
        </is>
      </c>
      <c r="H1" s="1" t="inlineStr">
        <is>
          <t>Shop drawings $</t>
        </is>
      </c>
      <c r="I1" s="1" t="inlineStr">
        <is>
          <t>Total $</t>
        </is>
      </c>
    </row>
    <row r="2">
      <c r="A2" t="n">
        <v>29</v>
      </c>
      <c r="B2">
        <f>SUMIF('By area'!A:A,A2,'By area'!D:D)</f>
        <v/>
      </c>
      <c r="C2" s="2">
        <f>SUMIF('By area'!A:A,A2,'By area'!F:F)</f>
        <v/>
      </c>
      <c r="D2" s="2">
        <f>SUMIF('By area'!A:A,A2,'By area'!H:H)</f>
        <v/>
      </c>
      <c r="E2" t="n">
        <v>30</v>
      </c>
      <c r="F2" s="2">
        <f>E2*Rates!$B$9</f>
        <v/>
      </c>
      <c r="G2" s="2" t="n">
        <v>2500</v>
      </c>
      <c r="H2" s="2" t="n">
        <v>1500</v>
      </c>
      <c r="I2" s="2">
        <f>C2+D2+F2+G2+H2</f>
        <v/>
      </c>
    </row>
    <row r="3">
      <c r="A3" t="n">
        <v>30</v>
      </c>
      <c r="B3">
        <f>SUMIF('By area'!A:A,A3,'By area'!D:D)</f>
        <v/>
      </c>
      <c r="C3" s="2">
        <f>SUMIF('By area'!A:A,A3,'By area'!F:F)</f>
        <v/>
      </c>
      <c r="D3" s="2">
        <f>SUMIF('By area'!A:A,A3,'By area'!H:H)</f>
        <v/>
      </c>
      <c r="E3" t="n">
        <v>15</v>
      </c>
      <c r="F3" s="2">
        <f>E3*Rates!$B$9</f>
        <v/>
      </c>
      <c r="G3" s="2" t="n">
        <v>1200</v>
      </c>
      <c r="H3" s="2" t="n">
        <v>750</v>
      </c>
      <c r="I3" s="2">
        <f>C3+D3+F3+G3+H3</f>
        <v/>
      </c>
    </row>
    <row r="4">
      <c r="A4" t="n">
        <v>31</v>
      </c>
      <c r="B4">
        <f>SUMIF('By area'!A:A,A4,'By area'!D:D)</f>
        <v/>
      </c>
      <c r="C4" s="2">
        <f>SUMIF('By area'!A:A,A4,'By area'!F:F)</f>
        <v/>
      </c>
      <c r="D4" s="2">
        <f>SUMIF('By area'!A:A,A4,'By area'!H:H)</f>
        <v/>
      </c>
      <c r="E4" t="n">
        <v>15</v>
      </c>
      <c r="F4" s="2">
        <f>E4*Rates!$B$9</f>
        <v/>
      </c>
      <c r="G4" s="2" t="n">
        <v>1200</v>
      </c>
      <c r="H4" s="2" t="n">
        <v>750</v>
      </c>
      <c r="I4" s="2">
        <f>C4+D4+F4+G4+H4</f>
        <v/>
      </c>
    </row>
    <row r="5">
      <c r="A5" s="3" t="inlineStr">
        <is>
          <t>Total</t>
        </is>
      </c>
      <c r="B5" s="3">
        <f>SUM(B2:B4)</f>
        <v/>
      </c>
      <c r="C5" s="4">
        <f>SUM(C2:C4)</f>
        <v/>
      </c>
      <c r="D5" s="4">
        <f>SUM(D2:D4)</f>
        <v/>
      </c>
      <c r="E5" s="3">
        <f>SUM(E2:E4)</f>
        <v/>
      </c>
      <c r="F5" s="4">
        <f>SUM(F2:F4)</f>
        <v/>
      </c>
      <c r="G5" s="4">
        <f>SUM(G2:G4)</f>
        <v/>
      </c>
      <c r="H5" s="4">
        <f>SUM(H2:H4)</f>
        <v/>
      </c>
      <c r="I5" s="4">
        <f>SUM(I2:I4)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2026-10-08T20:43:06Z</dcterms:created>
  <dcterms:modified xsi:type="dcterms:W3CDTF">2026-10-08T20:43:06Z</dcterms:modified>
</cp:coreProperties>
</file>