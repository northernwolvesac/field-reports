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ties by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7" customWidth="1" min="4" max="4"/>
    <col width="26" customWidth="1" min="5" max="5"/>
    <col width="9" customWidth="1" min="6" max="6"/>
    <col width="9" customWidth="1" min="7" max="7"/>
    <col width="11" customWidth="1" min="8" max="8"/>
    <col width="8" customWidth="1" min="9" max="9"/>
    <col width="11" customWidth="1" min="10" max="10"/>
    <col width="9" customWidth="1" min="11" max="11"/>
    <col width="48" customWidth="1" min="12" max="12"/>
    <col width="40" customWidth="1" min="13" max="13"/>
    <col width="11" customWidth="1" min="14" max="14"/>
    <col width="9" customWidth="1" min="15" max="15"/>
    <col width="11" customWidth="1" min="16" max="16"/>
  </cols>
  <sheetData>
    <row r="1">
      <c r="A1" t="inlineStr">
        <is>
          <t>Snowflake 7 Times Square fl. 29-31 - Perimeter linear diffusers (SD R2 clouds) - Northern Wolves AC - 10/05/2026</t>
        </is>
      </c>
    </row>
    <row r="3">
      <c r="A3" s="1" t="inlineStr">
        <is>
          <t>Floor</t>
        </is>
      </c>
      <c r="B3" s="1" t="inlineStr">
        <is>
          <t>Area</t>
        </is>
      </c>
      <c r="C3" s="1" t="inlineStr">
        <is>
          <t>Location</t>
        </is>
      </c>
      <c r="D3" s="1" t="inlineStr">
        <is>
          <t>LD qty</t>
        </is>
      </c>
      <c r="E3" s="1" t="inlineStr">
        <is>
          <t>CFM each</t>
        </is>
      </c>
      <c r="F3" s="1" t="inlineStr">
        <is>
          <t>CFM total</t>
        </is>
      </c>
      <c r="G3" s="1" t="inlineStr">
        <is>
          <t>12x10 qty</t>
        </is>
      </c>
      <c r="H3" s="1" t="inlineStr">
        <is>
          <t>12x10 total in</t>
        </is>
      </c>
      <c r="I3" s="1" t="inlineStr">
        <is>
          <t>10x8 qty</t>
        </is>
      </c>
      <c r="J3" s="1" t="inlineStr">
        <is>
          <t>10x8 total in</t>
        </is>
      </c>
      <c r="K3" s="1" t="inlineStr">
        <is>
          <t>VD/CO tagged</t>
        </is>
      </c>
      <c r="L3" s="1" t="inlineStr">
        <is>
          <t>Main in bubbled area (ref.)</t>
        </is>
      </c>
      <c r="M3" s="1" t="inlineStr">
        <is>
          <t>Notes</t>
        </is>
      </c>
      <c r="N3" s="1" t="inlineStr">
        <is>
          <t>Material $</t>
        </is>
      </c>
      <c r="O3" s="1" t="inlineStr">
        <is>
          <t>Labor MH</t>
        </is>
      </c>
      <c r="P3" s="1" t="inlineStr">
        <is>
          <t>Total $</t>
        </is>
      </c>
    </row>
    <row r="4">
      <c r="A4" s="2" t="n">
        <v>29</v>
      </c>
      <c r="B4" s="2" t="inlineStr">
        <is>
          <t>29-1</t>
        </is>
      </c>
      <c r="C4" s="2" t="inlineStr">
        <is>
          <t>North-east corner, W 42nd St / Broadway</t>
        </is>
      </c>
      <c r="D4" s="2" t="n">
        <v>4</v>
      </c>
      <c r="E4" s="2" t="inlineStr">
        <is>
          <t>300 / 300 / 300 / 300</t>
        </is>
      </c>
      <c r="F4" s="2" t="n">
        <v>1200</v>
      </c>
      <c r="G4" s="2" t="n">
        <v>4</v>
      </c>
      <c r="H4" s="2" t="n">
        <v>25</v>
      </c>
      <c r="I4" s="2" t="n">
        <v>0</v>
      </c>
      <c r="J4" s="2" t="n">
        <v>0</v>
      </c>
      <c r="K4" s="2" t="n">
        <v>4</v>
      </c>
      <c r="L4" s="2" t="inlineStr">
        <is>
          <t>31.3/12 approx. 16 LF; 26.1/10 with offset down approx. 6 LF; 14"Ø approx. 6 LF</t>
        </is>
      </c>
      <c r="M4" s="2" t="inlineStr">
        <is>
          <t>2 diffusers along 42nd St off the 31.3/12 main, 2 along Broadway off the 26.1/10 / 14"Ø run.</t>
        </is>
      </c>
      <c r="N4" s="2" t="n"/>
      <c r="O4" s="2" t="n"/>
      <c r="P4" s="2" t="n"/>
    </row>
    <row r="5">
      <c r="A5" s="2" t="n">
        <v>29</v>
      </c>
      <c r="B5" s="2" t="inlineStr">
        <is>
          <t>29-2</t>
        </is>
      </c>
      <c r="C5" s="2" t="inlineStr">
        <is>
          <t>Seventh Ave, north</t>
        </is>
      </c>
      <c r="D5" s="2" t="n">
        <v>3</v>
      </c>
      <c r="E5" s="2" t="inlineStr">
        <is>
          <t>265 / 270 / 265</t>
        </is>
      </c>
      <c r="F5" s="2" t="n">
        <v>800</v>
      </c>
      <c r="G5" s="2" t="n">
        <v>3</v>
      </c>
      <c r="H5" s="2" t="n">
        <v>33</v>
      </c>
      <c r="I5" s="2" t="n">
        <v>0</v>
      </c>
      <c r="J5" s="2" t="n">
        <v>0</v>
      </c>
      <c r="K5" s="2" t="n">
        <v>3</v>
      </c>
      <c r="L5" s="2" t="inlineStr">
        <is>
          <t>29.3/10 approx. 13 LF</t>
        </is>
      </c>
      <c r="M5" s="2" t="inlineStr"/>
      <c r="N5" s="2" t="n"/>
      <c r="O5" s="2" t="n"/>
      <c r="P5" s="2" t="n"/>
    </row>
    <row r="6">
      <c r="A6" s="2" t="n">
        <v>29</v>
      </c>
      <c r="B6" s="2" t="inlineStr">
        <is>
          <t>29-3</t>
        </is>
      </c>
      <c r="C6" s="2" t="inlineStr">
        <is>
          <t>Seventh Ave, Open Office 29.42</t>
        </is>
      </c>
      <c r="D6" s="2" t="n">
        <v>6</v>
      </c>
      <c r="E6" s="2" t="inlineStr">
        <is>
          <t>265 / 265 / 270 / 265 / 270 / 265</t>
        </is>
      </c>
      <c r="F6" s="2" t="n">
        <v>1600</v>
      </c>
      <c r="G6" s="2" t="n">
        <v>6</v>
      </c>
      <c r="H6" s="2" t="n">
        <v>66</v>
      </c>
      <c r="I6" s="2" t="n">
        <v>0</v>
      </c>
      <c r="J6" s="2" t="n">
        <v>0</v>
      </c>
      <c r="K6" s="2" t="n">
        <v>2</v>
      </c>
      <c r="L6" s="2" t="inlineStr">
        <is>
          <t>26.1/10 approx. 20 LF (with tee)</t>
        </is>
      </c>
      <c r="M6" s="2" t="inlineStr">
        <is>
          <t>VD/CO tagged on 2 of 6 connections.</t>
        </is>
      </c>
      <c r="N6" s="2" t="n"/>
      <c r="O6" s="2" t="n"/>
      <c r="P6" s="2" t="n"/>
    </row>
    <row r="7">
      <c r="A7" s="2" t="n">
        <v>29</v>
      </c>
      <c r="B7" s="2" t="inlineStr">
        <is>
          <t>29-4</t>
        </is>
      </c>
      <c r="C7" s="2" t="inlineStr">
        <is>
          <t>Broadway, north</t>
        </is>
      </c>
      <c r="D7" s="2" t="n">
        <v>2</v>
      </c>
      <c r="E7" s="2" t="inlineStr">
        <is>
          <t>200 / 200</t>
        </is>
      </c>
      <c r="F7" s="2" t="n">
        <v>400</v>
      </c>
      <c r="G7" s="2" t="n">
        <v>2</v>
      </c>
      <c r="H7" s="2" t="n">
        <v>14</v>
      </c>
      <c r="I7" s="2" t="n">
        <v>0</v>
      </c>
      <c r="J7" s="2" t="n">
        <v>0</v>
      </c>
      <c r="K7" s="2" t="n">
        <v>2</v>
      </c>
      <c r="L7" s="2" t="inlineStr">
        <is>
          <t>34.4/12 approx. 8 LF</t>
        </is>
      </c>
      <c r="M7" s="2" t="inlineStr"/>
      <c r="N7" s="2" t="n"/>
      <c r="O7" s="2" t="n"/>
      <c r="P7" s="2" t="n"/>
    </row>
    <row r="8">
      <c r="A8" s="2" t="n">
        <v>29</v>
      </c>
      <c r="B8" s="2" t="inlineStr">
        <is>
          <t>29-5</t>
        </is>
      </c>
      <c r="C8" s="2" t="inlineStr">
        <is>
          <t>Seventh Ave, south (north end of sheet B)</t>
        </is>
      </c>
      <c r="D8" s="2" t="n">
        <v>4</v>
      </c>
      <c r="E8" s="2" t="inlineStr">
        <is>
          <t>300 / 300 / 300 / 300</t>
        </is>
      </c>
      <c r="F8" s="2" t="n">
        <v>1200</v>
      </c>
      <c r="G8" s="2" t="n">
        <v>4</v>
      </c>
      <c r="H8" s="2" t="n">
        <v>40</v>
      </c>
      <c r="I8" s="2" t="n">
        <v>0</v>
      </c>
      <c r="J8" s="2" t="n">
        <v>0</v>
      </c>
      <c r="K8" s="2" t="n">
        <v>4</v>
      </c>
      <c r="L8" s="2" t="inlineStr">
        <is>
          <t>31.3/12 approx. 12 LF; 14"Ø approx. 8 LF</t>
        </is>
      </c>
      <c r="M8" s="2" t="inlineStr"/>
      <c r="N8" s="2" t="n"/>
      <c r="O8" s="2" t="n"/>
      <c r="P8" s="2" t="n"/>
    </row>
    <row r="9">
      <c r="A9" s="2" t="n">
        <v>29</v>
      </c>
      <c r="B9" s="2" t="inlineStr">
        <is>
          <t>29-6</t>
        </is>
      </c>
      <c r="C9" s="2" t="inlineStr">
        <is>
          <t>Seventh Ave, south</t>
        </is>
      </c>
      <c r="D9" s="2" t="n">
        <v>4</v>
      </c>
      <c r="E9" s="2" t="inlineStr">
        <is>
          <t>300 / 300 / 300 / 300</t>
        </is>
      </c>
      <c r="F9" s="2" t="n">
        <v>1200</v>
      </c>
      <c r="G9" s="2" t="n">
        <v>3</v>
      </c>
      <c r="H9" s="2" t="n">
        <v>30</v>
      </c>
      <c r="I9" s="2" t="n">
        <v>1</v>
      </c>
      <c r="J9" s="2" t="n">
        <v>10</v>
      </c>
      <c r="K9" s="2" t="n">
        <v>3</v>
      </c>
      <c r="L9" s="2" t="inlineStr">
        <is>
          <t>14"Ø approx. 13 LF; 29.3/10 approx. 7 LF</t>
        </is>
      </c>
      <c r="M9" s="2" t="inlineStr">
        <is>
          <t>Last connection 10x8. VD/CO tagged on 3 of 4.</t>
        </is>
      </c>
      <c r="N9" s="2" t="n"/>
      <c r="O9" s="2" t="n"/>
      <c r="P9" s="2" t="n"/>
    </row>
    <row r="10">
      <c r="A10" s="3" t="n">
        <v>29</v>
      </c>
      <c r="B10" s="3" t="inlineStr"/>
      <c r="C10" s="3" t="inlineStr">
        <is>
          <t>29th floor total</t>
        </is>
      </c>
      <c r="D10" s="3">
        <f>SUM(D4:D9)</f>
        <v/>
      </c>
      <c r="E10" s="3" t="inlineStr"/>
      <c r="F10" s="3">
        <f>SUM(F4:F9)</f>
        <v/>
      </c>
      <c r="G10" s="3">
        <f>SUM(G4:G9)</f>
        <v/>
      </c>
      <c r="H10" s="3">
        <f>SUM(H4:H9)</f>
        <v/>
      </c>
      <c r="I10" s="3">
        <f>SUM(I4:I9)</f>
        <v/>
      </c>
      <c r="J10" s="3">
        <f>SUM(J4:J9)</f>
        <v/>
      </c>
      <c r="K10" s="3">
        <f>SUM(K4:K9)</f>
        <v/>
      </c>
      <c r="L10" s="3" t="inlineStr"/>
      <c r="M10" s="3" t="inlineStr"/>
      <c r="N10" s="3">
        <f>SUM(N4:N9)</f>
        <v/>
      </c>
      <c r="O10" s="3">
        <f>SUM(O4:O9)</f>
        <v/>
      </c>
      <c r="P10" s="3">
        <f>SUM(P4:P9)</f>
        <v/>
      </c>
    </row>
    <row r="11">
      <c r="A11" s="2" t="n">
        <v>30</v>
      </c>
      <c r="B11" s="2" t="inlineStr">
        <is>
          <t>30-1</t>
        </is>
      </c>
      <c r="C11" s="2" t="inlineStr">
        <is>
          <t>Seventh Ave, north</t>
        </is>
      </c>
      <c r="D11" s="2" t="n">
        <v>3</v>
      </c>
      <c r="E11" s="2" t="inlineStr">
        <is>
          <t>265 / 270 / 265</t>
        </is>
      </c>
      <c r="F11" s="2" t="n">
        <v>800</v>
      </c>
      <c r="G11" s="2" t="n">
        <v>3</v>
      </c>
      <c r="H11" s="2" t="n">
        <v>33</v>
      </c>
      <c r="I11" s="2" t="n">
        <v>0</v>
      </c>
      <c r="J11" s="2" t="n">
        <v>0</v>
      </c>
      <c r="K11" s="2" t="n">
        <v>3</v>
      </c>
      <c r="L11" s="2" t="inlineStr">
        <is>
          <t>26.1/10 approx. 12 LF</t>
        </is>
      </c>
      <c r="M11" s="2" t="inlineStr"/>
      <c r="N11" s="2" t="n"/>
      <c r="O11" s="2" t="n"/>
      <c r="P11" s="2" t="n"/>
    </row>
    <row r="12">
      <c r="A12" s="2" t="n">
        <v>30</v>
      </c>
      <c r="B12" s="2" t="inlineStr">
        <is>
          <t>30-2</t>
        </is>
      </c>
      <c r="C12" s="2" t="inlineStr">
        <is>
          <t>Seventh Ave, Open Office 30.35</t>
        </is>
      </c>
      <c r="D12" s="2" t="n">
        <v>5</v>
      </c>
      <c r="E12" s="2" t="inlineStr">
        <is>
          <t>300 / 300 / 300 / 200 / 200</t>
        </is>
      </c>
      <c r="F12" s="2" t="n">
        <v>1300</v>
      </c>
      <c r="G12" s="2" t="n">
        <v>5</v>
      </c>
      <c r="H12" s="2" t="n">
        <v>47</v>
      </c>
      <c r="I12" s="2" t="n">
        <v>0</v>
      </c>
      <c r="J12" s="2" t="n">
        <v>0</v>
      </c>
      <c r="K12" s="2" t="n">
        <v>5</v>
      </c>
      <c r="L12" s="2" t="inlineStr">
        <is>
          <t>26.1/10 approx. 12 LF; 12"Ø approx. 9 LF</t>
        </is>
      </c>
      <c r="M12" s="2" t="inlineStr">
        <is>
          <t>3 off the 26.1/10, 2 off the 12"Ø below the 19x15.</t>
        </is>
      </c>
      <c r="N12" s="2" t="n"/>
      <c r="O12" s="2" t="n"/>
      <c r="P12" s="2" t="n"/>
    </row>
    <row r="13">
      <c r="A13" s="2" t="n">
        <v>30</v>
      </c>
      <c r="B13" s="2" t="inlineStr">
        <is>
          <t>30-3</t>
        </is>
      </c>
      <c r="C13" s="2" t="inlineStr">
        <is>
          <t>South wall (W 41st St side)</t>
        </is>
      </c>
      <c r="D13" s="2" t="n">
        <v>4</v>
      </c>
      <c r="E13" s="2" t="inlineStr">
        <is>
          <t>300 / 300 / 300 / 300</t>
        </is>
      </c>
      <c r="F13" s="2" t="n">
        <v>1200</v>
      </c>
      <c r="G13" s="2" t="n">
        <v>4</v>
      </c>
      <c r="H13" s="2" t="n">
        <v>44</v>
      </c>
      <c r="I13" s="2" t="n">
        <v>0</v>
      </c>
      <c r="J13" s="2" t="n">
        <v>0</v>
      </c>
      <c r="K13" s="2" t="n">
        <v>4</v>
      </c>
      <c r="L13" s="2" t="inlineStr">
        <is>
          <t>32.2/16 approx. 40 LF</t>
        </is>
      </c>
      <c r="M13" s="2" t="inlineStr"/>
      <c r="N13" s="2" t="n"/>
      <c r="O13" s="2" t="n"/>
      <c r="P13" s="2" t="n"/>
    </row>
    <row r="14">
      <c r="A14" s="3" t="n">
        <v>30</v>
      </c>
      <c r="B14" s="3" t="inlineStr"/>
      <c r="C14" s="3" t="inlineStr">
        <is>
          <t>30th floor total</t>
        </is>
      </c>
      <c r="D14" s="3">
        <f>SUM(D11:D13)</f>
        <v/>
      </c>
      <c r="E14" s="3" t="inlineStr"/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 t="inlineStr"/>
      <c r="M14" s="3" t="inlineStr"/>
      <c r="N14" s="3">
        <f>SUM(N11:N13)</f>
        <v/>
      </c>
      <c r="O14" s="3">
        <f>SUM(O11:O13)</f>
        <v/>
      </c>
      <c r="P14" s="3">
        <f>SUM(P11:P13)</f>
        <v/>
      </c>
    </row>
    <row r="15">
      <c r="A15" s="2" t="n">
        <v>31</v>
      </c>
      <c r="B15" s="2" t="inlineStr">
        <is>
          <t>31-1</t>
        </is>
      </c>
      <c r="C15" s="2" t="inlineStr">
        <is>
          <t>Seventh Ave, north (Focus Rm 31.65 / Corridor 31.51)</t>
        </is>
      </c>
      <c r="D15" s="2" t="n">
        <v>2</v>
      </c>
      <c r="E15" s="2" t="inlineStr">
        <is>
          <t>200 / 200</t>
        </is>
      </c>
      <c r="F15" s="2" t="n">
        <v>400</v>
      </c>
      <c r="G15" s="2" t="n">
        <v>2</v>
      </c>
      <c r="H15" s="2" t="n">
        <v>18</v>
      </c>
      <c r="I15" s="2" t="n">
        <v>0</v>
      </c>
      <c r="J15" s="2" t="n">
        <v>0</v>
      </c>
      <c r="K15" s="2" t="n">
        <v>1</v>
      </c>
      <c r="L15" s="2" t="inlineStr">
        <is>
          <t>26.1/10 approx. 4 LF (at elbow)</t>
        </is>
      </c>
      <c r="M15" s="2" t="inlineStr"/>
      <c r="N15" s="2" t="n"/>
      <c r="O15" s="2" t="n"/>
      <c r="P15" s="2" t="n"/>
    </row>
    <row r="16">
      <c r="A16" s="2" t="n">
        <v>31</v>
      </c>
      <c r="B16" s="2" t="inlineStr">
        <is>
          <t>31-2</t>
        </is>
      </c>
      <c r="C16" s="2" t="inlineStr">
        <is>
          <t>Seventh Ave, Huddle Rms 31.46 / 31.47</t>
        </is>
      </c>
      <c r="D16" s="2" t="n">
        <v>3</v>
      </c>
      <c r="E16" s="2" t="inlineStr">
        <is>
          <t>265 / 270 / 265</t>
        </is>
      </c>
      <c r="F16" s="2" t="n">
        <v>800</v>
      </c>
      <c r="G16" s="2" t="n">
        <v>3</v>
      </c>
      <c r="H16" s="2" t="n">
        <v>36</v>
      </c>
      <c r="I16" s="2" t="n">
        <v>0</v>
      </c>
      <c r="J16" s="2" t="n">
        <v>0</v>
      </c>
      <c r="K16" s="2" t="n">
        <v>0</v>
      </c>
      <c r="L16" s="2" t="inlineStr">
        <is>
          <t>28.1/12 approx. 15 LF</t>
        </is>
      </c>
      <c r="M16" s="2" t="inlineStr">
        <is>
          <t>No VD/CO tags shown.</t>
        </is>
      </c>
      <c r="N16" s="2" t="n"/>
      <c r="O16" s="2" t="n"/>
      <c r="P16" s="2" t="n"/>
    </row>
    <row r="17">
      <c r="A17" s="2" t="n">
        <v>31</v>
      </c>
      <c r="B17" s="2" t="inlineStr">
        <is>
          <t>31-3</t>
        </is>
      </c>
      <c r="C17" s="2" t="inlineStr">
        <is>
          <t>Seventh Ave, at IDF 31.44 (match line)</t>
        </is>
      </c>
      <c r="D17" s="2" t="n">
        <v>1</v>
      </c>
      <c r="E17" s="2" t="inlineStr">
        <is>
          <t>300</t>
        </is>
      </c>
      <c r="F17" s="2" t="n">
        <v>300</v>
      </c>
      <c r="G17" s="2" t="n">
        <v>1</v>
      </c>
      <c r="H17" s="2" t="n">
        <v>9</v>
      </c>
      <c r="I17" s="2" t="n">
        <v>0</v>
      </c>
      <c r="J17" s="2" t="n">
        <v>0</v>
      </c>
      <c r="K17" s="2" t="n">
        <v>0</v>
      </c>
      <c r="L17" s="2" t="inlineStr">
        <is>
          <t>34.4/12 (same run as 31-4)</t>
        </is>
      </c>
      <c r="M17" s="2" t="inlineStr">
        <is>
          <t>No VD/CO tag shown.</t>
        </is>
      </c>
      <c r="N17" s="2" t="n"/>
      <c r="O17" s="2" t="n"/>
      <c r="P17" s="2" t="n"/>
    </row>
    <row r="18">
      <c r="A18" s="2" t="n">
        <v>31</v>
      </c>
      <c r="B18" s="2" t="inlineStr">
        <is>
          <t>31-4</t>
        </is>
      </c>
      <c r="C18" s="2" t="inlineStr">
        <is>
          <t>Seventh Ave, 7P Meeting Rm 31.43</t>
        </is>
      </c>
      <c r="D18" s="2" t="n">
        <v>3</v>
      </c>
      <c r="E18" s="2" t="inlineStr">
        <is>
          <t>300 / 300 / 300</t>
        </is>
      </c>
      <c r="F18" s="2" t="n">
        <v>900</v>
      </c>
      <c r="G18" s="2" t="n">
        <v>3</v>
      </c>
      <c r="H18" s="2" t="n">
        <v>27</v>
      </c>
      <c r="I18" s="2" t="n">
        <v>0</v>
      </c>
      <c r="J18" s="2" t="n">
        <v>0</v>
      </c>
      <c r="K18" s="2" t="n">
        <v>0</v>
      </c>
      <c r="L18" s="2" t="inlineStr">
        <is>
          <t>34.4/12 approx. 20 LF</t>
        </is>
      </c>
      <c r="M18" s="2" t="inlineStr">
        <is>
          <t>No VD/CO tags shown.</t>
        </is>
      </c>
      <c r="N18" s="2" t="n"/>
      <c r="O18" s="2" t="n"/>
      <c r="P18" s="2" t="n"/>
    </row>
    <row r="19">
      <c r="A19" s="2" t="n">
        <v>31</v>
      </c>
      <c r="B19" s="2" t="inlineStr">
        <is>
          <t>31-5</t>
        </is>
      </c>
      <c r="C19" s="2" t="inlineStr">
        <is>
          <t>Seventh Ave, south</t>
        </is>
      </c>
      <c r="D19" s="2" t="n">
        <v>3</v>
      </c>
      <c r="E19" s="2" t="inlineStr">
        <is>
          <t>265 / 270 / 265</t>
        </is>
      </c>
      <c r="F19" s="2" t="n">
        <v>800</v>
      </c>
      <c r="G19" s="2" t="n">
        <v>3</v>
      </c>
      <c r="H19" s="2" t="n">
        <v>27</v>
      </c>
      <c r="I19" s="2" t="n">
        <v>0</v>
      </c>
      <c r="J19" s="2" t="n">
        <v>0</v>
      </c>
      <c r="K19" s="2" t="n">
        <v>0</v>
      </c>
      <c r="L19" s="2" t="inlineStr">
        <is>
          <t>28.1/12 approx. 15 LF</t>
        </is>
      </c>
      <c r="M19" s="2" t="inlineStr">
        <is>
          <t>No VD/CO tags shown.</t>
        </is>
      </c>
      <c r="N19" s="2" t="n"/>
      <c r="O19" s="2" t="n"/>
      <c r="P19" s="2" t="n"/>
    </row>
    <row r="20">
      <c r="A20" s="2" t="n">
        <v>31</v>
      </c>
      <c r="B20" s="2" t="inlineStr">
        <is>
          <t>31-6</t>
        </is>
      </c>
      <c r="C20" s="2" t="inlineStr">
        <is>
          <t>Broadway, south</t>
        </is>
      </c>
      <c r="D20" s="2" t="n">
        <v>2</v>
      </c>
      <c r="E20" s="2" t="inlineStr">
        <is>
          <t>300 / 300</t>
        </is>
      </c>
      <c r="F20" s="2" t="n">
        <v>600</v>
      </c>
      <c r="G20" s="2" t="n">
        <v>2</v>
      </c>
      <c r="H20" s="2" t="n">
        <v>14</v>
      </c>
      <c r="I20" s="2" t="n">
        <v>0</v>
      </c>
      <c r="J20" s="2" t="n">
        <v>0</v>
      </c>
      <c r="K20" s="2" t="n">
        <v>2</v>
      </c>
      <c r="L20" s="2" t="inlineStr">
        <is>
          <t>29.3/10 approx. 13 LF</t>
        </is>
      </c>
      <c r="M20" s="2" t="inlineStr"/>
      <c r="N20" s="2" t="n"/>
      <c r="O20" s="2" t="n"/>
      <c r="P20" s="2" t="n"/>
    </row>
    <row r="21">
      <c r="A21" s="3" t="n">
        <v>31</v>
      </c>
      <c r="B21" s="3" t="inlineStr"/>
      <c r="C21" s="3" t="inlineStr">
        <is>
          <t>31st floor total</t>
        </is>
      </c>
      <c r="D21" s="3">
        <f>SUM(D15:D20)</f>
        <v/>
      </c>
      <c r="E21" s="3" t="inlineStr"/>
      <c r="F21" s="3">
        <f>SUM(F15:F20)</f>
        <v/>
      </c>
      <c r="G21" s="3">
        <f>SUM(G15:G20)</f>
        <v/>
      </c>
      <c r="H21" s="3">
        <f>SUM(H15:H20)</f>
        <v/>
      </c>
      <c r="I21" s="3">
        <f>SUM(I15:I20)</f>
        <v/>
      </c>
      <c r="J21" s="3">
        <f>SUM(J15:J20)</f>
        <v/>
      </c>
      <c r="K21" s="3">
        <f>SUM(K15:K20)</f>
        <v/>
      </c>
      <c r="L21" s="3" t="inlineStr"/>
      <c r="M21" s="3" t="inlineStr"/>
      <c r="N21" s="3">
        <f>SUM(N15:N20)</f>
        <v/>
      </c>
      <c r="O21" s="3">
        <f>SUM(O15:O20)</f>
        <v/>
      </c>
      <c r="P21" s="3">
        <f>SUM(P15:P20)</f>
        <v/>
      </c>
    </row>
    <row r="22">
      <c r="A22" s="3" t="inlineStr"/>
      <c r="B22" s="3" t="inlineStr"/>
      <c r="C22" s="3" t="inlineStr">
        <is>
          <t>TOTAL</t>
        </is>
      </c>
      <c r="D22" s="3">
        <f>D10+D14+D21</f>
        <v/>
      </c>
      <c r="E22" s="3" t="inlineStr"/>
      <c r="F22" s="3">
        <f>F10+F14+F21</f>
        <v/>
      </c>
      <c r="G22" s="3">
        <f>G10+G14+G21</f>
        <v/>
      </c>
      <c r="H22" s="3">
        <f>H10+H14+H21</f>
        <v/>
      </c>
      <c r="I22" s="3">
        <f>I10+I14+I21</f>
        <v/>
      </c>
      <c r="J22" s="3">
        <f>J10+J14+J21</f>
        <v/>
      </c>
      <c r="K22" s="3">
        <f>K10+K14+K21</f>
        <v/>
      </c>
      <c r="L22" s="3" t="inlineStr"/>
      <c r="M22" s="3" t="inlineStr"/>
      <c r="N22" s="3">
        <f>N10+N14+N21</f>
        <v/>
      </c>
      <c r="O22" s="3">
        <f>O10+O14+O21</f>
        <v/>
      </c>
      <c r="P22" s="3">
        <f>P10+P14+P21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2026-10-05T15:25:28Z</dcterms:created>
  <dcterms:modified xsi:type="dcterms:W3CDTF">2026-10-05T15:25:28Z</dcterms:modified>
</cp:coreProperties>
</file>